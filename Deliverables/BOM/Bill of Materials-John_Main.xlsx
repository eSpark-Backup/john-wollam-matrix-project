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JohnWollam-MatrixProject\Deliverables\BOM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36" i="1" l="1"/>
  <c r="R36" i="1"/>
  <c r="L36" i="1"/>
  <c r="M36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R30" i="1" l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7" i="1"/>
  <c r="T28" i="1"/>
  <c r="T29" i="1"/>
  <c r="T30" i="1"/>
  <c r="T31" i="1"/>
  <c r="T32" i="1"/>
  <c r="T33" i="1"/>
  <c r="T34" i="1"/>
  <c r="T35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7" i="1"/>
  <c r="R28" i="1"/>
  <c r="R29" i="1"/>
  <c r="R31" i="1"/>
  <c r="R32" i="1"/>
  <c r="R33" i="1"/>
  <c r="R34" i="1"/>
  <c r="R35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10" i="1"/>
  <c r="R58" i="1" l="1"/>
  <c r="R59" i="1" s="1"/>
  <c r="R61" i="1" s="1"/>
  <c r="T58" i="1"/>
  <c r="T59" i="1" s="1"/>
  <c r="T61" i="1" s="1"/>
  <c r="B10" i="1"/>
</calcChain>
</file>

<file path=xl/sharedStrings.xml><?xml version="1.0" encoding="utf-8"?>
<sst xmlns="http://schemas.openxmlformats.org/spreadsheetml/2006/main" count="464" uniqueCount="302">
  <si>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</si>
  <si>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</si>
  <si>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</si>
  <si>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</si>
  <si>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</si>
  <si>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</si>
  <si>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</si>
  <si>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[John_Main.PrjPcb] (No PCB Document Selected)</t>
  </si>
  <si>
    <t>John_Main.PrjPcb</t>
  </si>
  <si>
    <t>None</t>
  </si>
  <si>
    <t>Designator</t>
  </si>
  <si>
    <t>C1, C23, C33, CF1</t>
  </si>
  <si>
    <t>C11</t>
  </si>
  <si>
    <t>C13</t>
  </si>
  <si>
    <t>C14</t>
  </si>
  <si>
    <t>C15, C16</t>
  </si>
  <si>
    <t>C25, CU5</t>
  </si>
  <si>
    <t>C34, C35</t>
  </si>
  <si>
    <t>CF2, CF3</t>
  </si>
  <si>
    <t>CU6</t>
  </si>
  <si>
    <t>CU7</t>
  </si>
  <si>
    <t>CU9, CU10</t>
  </si>
  <si>
    <t>D1, D2</t>
  </si>
  <si>
    <t>F1</t>
  </si>
  <si>
    <t>FB1</t>
  </si>
  <si>
    <t>J1, J2, J3, J4, J5, J7, J8</t>
  </si>
  <si>
    <t>J6</t>
  </si>
  <si>
    <t>L1</t>
  </si>
  <si>
    <t>LED1, LED2, LED3, LED4, LED5, LED6, LED7, LED8, LED9, LED10, LED11, LED12, LED13, LED14, LED15, LED16, LED17, LED18, LED19, LED20, LED21, LED22</t>
  </si>
  <si>
    <t>LF1</t>
  </si>
  <si>
    <t>P2, P3</t>
  </si>
  <si>
    <t>Q1</t>
  </si>
  <si>
    <t>Q13, Q14, Q15, Q16, Q25, Q26, Q27, Q28, Q37, Q38, Q43, Q44, Q45, Q46, Q55, Q56, Q57, Q58, Q67, Q68</t>
  </si>
  <si>
    <t>R2</t>
  </si>
  <si>
    <t>R5, R13, R14, R21, R22</t>
  </si>
  <si>
    <t>R6</t>
  </si>
  <si>
    <t>R7, R9</t>
  </si>
  <si>
    <t>R8</t>
  </si>
  <si>
    <t>R10</t>
  </si>
  <si>
    <t>R11, R15, R18, R23, R24</t>
  </si>
  <si>
    <t>R16, R17</t>
  </si>
  <si>
    <t>R38, R46, R48, R50</t>
  </si>
  <si>
    <t>R67, R68, R69, R70, R79, R80, R81, R82, R87, R88, R98, R99, R100, R101, R110, R111, R112, R113, R118, R119</t>
  </si>
  <si>
    <t>RF2</t>
  </si>
  <si>
    <t>RF10, RU1, RU2, RU3</t>
  </si>
  <si>
    <t>SW4</t>
  </si>
  <si>
    <t>SW5</t>
  </si>
  <si>
    <t>U1, U2</t>
  </si>
  <si>
    <t>U3</t>
  </si>
  <si>
    <t>U4</t>
  </si>
  <si>
    <t>U5, U6, U7, U8, U9</t>
  </si>
  <si>
    <t>USB1</t>
  </si>
  <si>
    <t>X1</t>
  </si>
  <si>
    <t>Description</t>
  </si>
  <si>
    <t>CAP CER 10UF 10V X5R 0402</t>
  </si>
  <si>
    <t>CAP CER 0.1UF 16V X5R 0402</t>
  </si>
  <si>
    <t>CAP CER 22UF 25V X5R 0805</t>
  </si>
  <si>
    <t>CAP ALUM POLY 180UF 20% 16V SMD</t>
  </si>
  <si>
    <t>CAP CER 0.47UF 25V X5R 0402</t>
  </si>
  <si>
    <t>CAP CER 0.047UF 16V X5R 0201</t>
  </si>
  <si>
    <t>CAP CER 47UF 25V X5R 1206</t>
  </si>
  <si>
    <t>CAP CER 4.7UF 25V X5R 0603</t>
  </si>
  <si>
    <t>CAP CER 47PF 50V C0G/NP0 0402</t>
  </si>
  <si>
    <t>CAP CER 10UF 25V X5R 0603</t>
  </si>
  <si>
    <t>CAP CER 1UF 25V X5R 0402</t>
  </si>
  <si>
    <t>CAP CER 10000PF 25V X7R 0402</t>
  </si>
  <si>
    <t>CAP CER 20PF 25V C0H 0201</t>
  </si>
  <si>
    <t>DIODE SCHOTTKY 30V 1A SOD123W</t>
  </si>
  <si>
    <t>PTC RESET FUSE 16V 2.5A 1812</t>
  </si>
  <si>
    <t>FERRITE BEAD 120 OHM 0402 1LN</t>
  </si>
  <si>
    <t>Socket</t>
  </si>
  <si>
    <t>TERM BLK 12P SIDE ENT 5.08MM PCB</t>
  </si>
  <si>
    <t>2.2uH ±20% 5.5A 29mΩ SMD,5.75x5.2x3mm Inductors (SMD) RoHS</t>
  </si>
  <si>
    <t>LED GREEN CLEAR CHIP 0603 SMD, LED GREEN CLEAR CHIP SMD</t>
  </si>
  <si>
    <t>FIXED IND 3.3UH 6A 30 MOHM SMD</t>
  </si>
  <si>
    <t>CONN HEADER VERT 11POS 2.54MM</t>
  </si>
  <si>
    <t>P-Channel 30V Fast Switching MOSFET</t>
  </si>
  <si>
    <t>MOSFET P-CH 20V 2.8A SOT-23</t>
  </si>
  <si>
    <t>MOSFET N-CH 50V 200MA SOT-23</t>
  </si>
  <si>
    <t>RES SMD 10K OHM 1% 1/16W 0402</t>
  </si>
  <si>
    <t>RES SMD 33.2K OHM 1% 1/16W 0402</t>
  </si>
  <si>
    <t>RES SMD 1K OHM 1% 1/16W 0402</t>
  </si>
  <si>
    <t>RES SMD 390 OHM 5% 1/10W 0603</t>
  </si>
  <si>
    <t>RES SMD 330K OHM 1% 1/16W 0402</t>
  </si>
  <si>
    <t>RES SMD 220K OHM 1% 1/16W 0402</t>
  </si>
  <si>
    <t>RES SMD 100 OHM 1% 1/16W 0402</t>
  </si>
  <si>
    <t>RES SMD 270K OHM 1% 1/16W 0402</t>
  </si>
  <si>
    <t>RES 240 OHM 1% 1/16W 0402</t>
  </si>
  <si>
    <t>RES SMD 27 OHM 1% 1/16W 0402</t>
  </si>
  <si>
    <t>RES SMD 4.7K OHM 1% 1/16W 0402</t>
  </si>
  <si>
    <t>RES SMD 330 OHM 1% 1/16W 0402</t>
  </si>
  <si>
    <t>RES SMD 54.9K OHM 1% 1/16W 0402</t>
  </si>
  <si>
    <t>RES SMD 20K OHM 1% 1/16W 0402</t>
  </si>
  <si>
    <t>SWITCH TACTILE SPST-NO 0.05A 12V</t>
  </si>
  <si>
    <t>2 Position SPDT Miniature Slide Switch 100MA 12V Through Hole, Right Angle</t>
  </si>
  <si>
    <t>IC REG BUCK ADJ 3A TSOT23-6</t>
  </si>
  <si>
    <t>TVS DIODE 5V 6.8V 6UDFN</t>
  </si>
  <si>
    <t>IC MCU 32BIT 128KB FLASH 48LQFP</t>
  </si>
  <si>
    <t>TransistorOptocouplers DC 1 2500Vrms SOP-4_P1.27 Optocouplers RoHS</t>
  </si>
  <si>
    <t>CONN USB MICRO B RECPT SMT R/A</t>
  </si>
  <si>
    <t>8MHz ±20ppm 20pF SMD,12.5x4.5mm SMD Crystal Resonators RoHS</t>
  </si>
  <si>
    <t>Footprint</t>
  </si>
  <si>
    <t>Cap0402</t>
  </si>
  <si>
    <t>Cap0805</t>
  </si>
  <si>
    <t>16SVPF180M</t>
  </si>
  <si>
    <t>Cap 0201</t>
  </si>
  <si>
    <t>Cap1206</t>
  </si>
  <si>
    <t>Cap0603</t>
  </si>
  <si>
    <t>PMEG3010ER,115</t>
  </si>
  <si>
    <t>MF-MSMF250/16X-2</t>
  </si>
  <si>
    <t>MMZ1005F121ET000</t>
  </si>
  <si>
    <t>MS0530-2R2M</t>
  </si>
  <si>
    <t>HCM0703-3R3-R</t>
  </si>
  <si>
    <t>SOT-23</t>
  </si>
  <si>
    <t>BSS138LT1G</t>
  </si>
  <si>
    <t>SOT23-3</t>
  </si>
  <si>
    <t>Res0402</t>
  </si>
  <si>
    <t>Res0603</t>
  </si>
  <si>
    <t>B3U-1000P</t>
  </si>
  <si>
    <t>OS102011MA1QN1</t>
  </si>
  <si>
    <t>TPS563201DDCR</t>
  </si>
  <si>
    <t>SP3014-02UTG</t>
  </si>
  <si>
    <t>STM32F070CBT6TR</t>
  </si>
  <si>
    <t>PS2801C-1-F3-A</t>
  </si>
  <si>
    <t>49MD-8.000-20-20-20/A</t>
  </si>
  <si>
    <t>Manufacturer Part Number</t>
  </si>
  <si>
    <t>CL05A106MP8NUB8</t>
  </si>
  <si>
    <t>CC0402KRX5R7BB104</t>
  </si>
  <si>
    <t>GRM21BR61E226ME44K</t>
  </si>
  <si>
    <t>GRT155R61E474KE01D</t>
  </si>
  <si>
    <t>GRM033R61C473KE84D</t>
  </si>
  <si>
    <t>GRM31CR61E476ME44L</t>
  </si>
  <si>
    <t>CL10A475KA8NQNC</t>
  </si>
  <si>
    <t>TMK107BBJ106MA-T</t>
  </si>
  <si>
    <t>GRM155R61E105KA12D</t>
  </si>
  <si>
    <t>CC0402KRX7R8BB103</t>
  </si>
  <si>
    <t>GJM0336C1E200JB01D</t>
  </si>
  <si>
    <t>LTST-C190KGKT</t>
  </si>
  <si>
    <t>PMV65XP,215</t>
  </si>
  <si>
    <t>RC0402FR-0710KL</t>
  </si>
  <si>
    <t>RC0402FR-0733K2L</t>
  </si>
  <si>
    <t>RC0603JR-07390RL</t>
  </si>
  <si>
    <t>RC0402FR-07330KL</t>
  </si>
  <si>
    <t>RC0402FR-07220KL</t>
  </si>
  <si>
    <t>RC0402FR-07100RL</t>
  </si>
  <si>
    <t>RC0402FR-07270KL</t>
  </si>
  <si>
    <t>CRCW0402240RFKEDC</t>
  </si>
  <si>
    <t>RC0402FR-07330RL</t>
  </si>
  <si>
    <t>AC0402FR-0754K9L</t>
  </si>
  <si>
    <t>RC0402JR-0720KL</t>
  </si>
  <si>
    <t>AT0402FRE071KL</t>
  </si>
  <si>
    <t>10118192-0001LF</t>
  </si>
  <si>
    <t>Manufacturer</t>
  </si>
  <si>
    <t>Samsung</t>
  </si>
  <si>
    <t>Yageo</t>
  </si>
  <si>
    <t>Murata</t>
  </si>
  <si>
    <t>Panasonic</t>
  </si>
  <si>
    <t>Taiyo Yuden</t>
  </si>
  <si>
    <t>NXP Semiconductors</t>
  </si>
  <si>
    <t>Bourns</t>
  </si>
  <si>
    <t>TDK</t>
  </si>
  <si>
    <t>Phoenix Contact</t>
  </si>
  <si>
    <t>COILMX</t>
  </si>
  <si>
    <t>Vishay Lite-On</t>
  </si>
  <si>
    <t>Eaton Cooper</t>
  </si>
  <si>
    <t>Molex</t>
  </si>
  <si>
    <t>TY Semiconductor</t>
  </si>
  <si>
    <t>ON Semiconductor</t>
  </si>
  <si>
    <t>Nexperia</t>
  </si>
  <si>
    <t>Yageo Phycomp</t>
  </si>
  <si>
    <t>Omron</t>
  </si>
  <si>
    <t>ITT C&amp;K</t>
  </si>
  <si>
    <t>Texas Instruments</t>
  </si>
  <si>
    <t>Littelfuse</t>
  </si>
  <si>
    <t>CEL</t>
  </si>
  <si>
    <t>Amphenol FCI</t>
  </si>
  <si>
    <t>Suzhou Liming Elec</t>
  </si>
  <si>
    <t>Comment</t>
  </si>
  <si>
    <t>10uF</t>
  </si>
  <si>
    <t>0.1uF</t>
  </si>
  <si>
    <t>22uF</t>
  </si>
  <si>
    <t>180uF</t>
  </si>
  <si>
    <t>470nF</t>
  </si>
  <si>
    <t>47nF</t>
  </si>
  <si>
    <t>47uF</t>
  </si>
  <si>
    <t>4.7UF</t>
  </si>
  <si>
    <t>47pF</t>
  </si>
  <si>
    <t>1uF</t>
  </si>
  <si>
    <t>10nF</t>
  </si>
  <si>
    <t>20pF</t>
  </si>
  <si>
    <t>QM3001K</t>
  </si>
  <si>
    <t>10K</t>
  </si>
  <si>
    <t>33.2K</t>
  </si>
  <si>
    <t>1K</t>
  </si>
  <si>
    <t>390R</t>
  </si>
  <si>
    <t>330K</t>
  </si>
  <si>
    <t>220K</t>
  </si>
  <si>
    <t>100R</t>
  </si>
  <si>
    <t>270K</t>
  </si>
  <si>
    <t>240R</t>
  </si>
  <si>
    <t>27R</t>
  </si>
  <si>
    <t>4.7K</t>
  </si>
  <si>
    <t>330R</t>
  </si>
  <si>
    <t>54.9K</t>
  </si>
  <si>
    <t>20K</t>
  </si>
  <si>
    <t>Quantity</t>
  </si>
  <si>
    <t>C2, C8, C10, C12, C17, C32, CF4, CF5, CF8, CU1, CU2, CU3, CU4, CU8</t>
  </si>
  <si>
    <t>C9, CS1, CF6, CF7</t>
  </si>
  <si>
    <t>GCM1555C1H470JA16D</t>
  </si>
  <si>
    <t>------</t>
  </si>
  <si>
    <t>-------</t>
  </si>
  <si>
    <t>Custom</t>
  </si>
  <si>
    <t>-----</t>
  </si>
  <si>
    <t>3.3uH</t>
  </si>
  <si>
    <t>Q2 , Q17, Q18, Q19, Q20, Q21, Q22, Q23, Q24, Q29, Q30, Q31, Q32, Q33, Q34, Q35, Q36, Q39, Q40, Q41, Q42, Q47, Q48, Q49, Q50, Q51, Q52, Q53, Q54, Q59, Q60, Q61, Q62, Q63, Q64, Q65, Q66, Q69, Q70, Q71, Q72, Q73, Q74, Q75, Q76</t>
  </si>
  <si>
    <t>RP1, RP2, RP3, RP4, RP5, RP6, RP7, RP8, RP9, RP10, RP11, RP12, RP13, RP14, RP15, RP16, RP17, RP18, RP19, RP20, R3, R58</t>
  </si>
  <si>
    <t>RT0402FRE0727RL</t>
  </si>
  <si>
    <t>RC0402FR-074K7L</t>
  </si>
  <si>
    <t>48LQFP</t>
  </si>
  <si>
    <t>TSOT23-6</t>
  </si>
  <si>
    <t>SOP-4</t>
  </si>
  <si>
    <t>8MHz</t>
  </si>
  <si>
    <t>LCSC MOQ/10</t>
  </si>
  <si>
    <t>MOQ/100 Boards</t>
  </si>
  <si>
    <t>Total Cost/10 Boards</t>
  </si>
  <si>
    <t>Unit Cost/10 Boards</t>
  </si>
  <si>
    <t>Unit Cost/100 Boards</t>
  </si>
  <si>
    <t>Total Cost/100 Boards</t>
  </si>
  <si>
    <t>Quantity/10 Boards</t>
  </si>
  <si>
    <t>Quantity/100 Boards</t>
  </si>
  <si>
    <t>LCSC/Part No</t>
  </si>
  <si>
    <t>C106204</t>
  </si>
  <si>
    <t xml:space="preserve">Alternate Part No </t>
  </si>
  <si>
    <t>C136277</t>
  </si>
  <si>
    <t>C88917</t>
  </si>
  <si>
    <t>C403725</t>
  </si>
  <si>
    <t>C69335</t>
  </si>
  <si>
    <t>C126511</t>
  </si>
  <si>
    <t>C386081</t>
  </si>
  <si>
    <t>C77009</t>
  </si>
  <si>
    <t>C327025</t>
  </si>
  <si>
    <t>C210838</t>
  </si>
  <si>
    <t>IND 0402</t>
  </si>
  <si>
    <t>C89458</t>
  </si>
  <si>
    <t>C380163</t>
  </si>
  <si>
    <t>2.2uH</t>
  </si>
  <si>
    <t>C125094</t>
  </si>
  <si>
    <t>C82045</t>
  </si>
  <si>
    <t>C60490</t>
  </si>
  <si>
    <t>C130276</t>
  </si>
  <si>
    <t>C137632</t>
  </si>
  <si>
    <t>C138006</t>
  </si>
  <si>
    <t>C138030</t>
  </si>
  <si>
    <t>C2935235</t>
  </si>
  <si>
    <t>C163475</t>
  </si>
  <si>
    <t>C105871</t>
  </si>
  <si>
    <t>C105875</t>
  </si>
  <si>
    <t>C227137</t>
  </si>
  <si>
    <t>C137902</t>
  </si>
  <si>
    <t>C231329</t>
  </si>
  <si>
    <t>C116592</t>
  </si>
  <si>
    <t>C207282</t>
  </si>
  <si>
    <t>C67112</t>
  </si>
  <si>
    <t>C132564</t>
  </si>
  <si>
    <t>C240959</t>
  </si>
  <si>
    <t>CL21A226MAQNNNE</t>
  </si>
  <si>
    <t>C2922481</t>
  </si>
  <si>
    <t>GRM155R61E474KE01D</t>
  </si>
  <si>
    <t>C437526</t>
  </si>
  <si>
    <t>CC0201JRNPO8BN200</t>
  </si>
  <si>
    <t>C541204</t>
  </si>
  <si>
    <t>Links</t>
  </si>
  <si>
    <t>Aliexpress</t>
  </si>
  <si>
    <t>C307415</t>
  </si>
  <si>
    <t>LCSC</t>
  </si>
  <si>
    <t>LED 0603</t>
  </si>
  <si>
    <t>Winsource</t>
  </si>
  <si>
    <t>RC0402FR-07240RL</t>
  </si>
  <si>
    <t>C114755</t>
  </si>
  <si>
    <t>0402WGF270JTCE</t>
  </si>
  <si>
    <t>C25100</t>
  </si>
  <si>
    <t>0402WGF1001TCE</t>
  </si>
  <si>
    <t>C11702</t>
  </si>
  <si>
    <t>6UDFN</t>
  </si>
  <si>
    <t>STMicroelectronics</t>
  </si>
  <si>
    <t>DB128V-5.0-12P-GN-S</t>
  </si>
  <si>
    <t>C424688</t>
  </si>
  <si>
    <t>Aliexpress Shipping Cost</t>
  </si>
  <si>
    <t xml:space="preserve">Total Component Cost </t>
  </si>
  <si>
    <t>Single Board Cost</t>
  </si>
  <si>
    <t>Total Cost Single Board</t>
  </si>
  <si>
    <t>SOD123W</t>
  </si>
  <si>
    <t>Remarks</t>
  </si>
  <si>
    <t>PMEG6010ER,115</t>
  </si>
  <si>
    <t>C456121</t>
  </si>
  <si>
    <t xml:space="preserve">Custom Supplier </t>
  </si>
  <si>
    <t>R12, R19, R20, R25, R26, RF3</t>
  </si>
  <si>
    <t xml:space="preserve">R1, R4, R59, R60, R61, R62, R63, R64, R65, R66, R71, R72, R73, R74, R75, R76, R77, R78, R83, R84, R85, R86, R90, R91, R92, R93, R94, R95, R96, R97, R102, R103, R104, R105, R106, R107, R108, R109, R114, R115, R116, R117, R120, R121, R122, R123 </t>
  </si>
  <si>
    <t>RES 10K OHM 5% 1/10W 0402</t>
  </si>
  <si>
    <t>RK73B1ETTP103J</t>
  </si>
  <si>
    <t>ERJ-2GEJ103X</t>
  </si>
  <si>
    <t>C278577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</si>
</sst>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indexed="13"/>
      <name val="Calibri"/>
      <family val="2"/>
      <scheme val="minor"/>
    </font>
    <font>
      <sz val="10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14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0" xfId="0" applyFont="1" applyFill="1" applyBorder="1" applyAlignment="1"/>
    <xf numFmtId="0" fontId="7" fillId="3" borderId="4" xfId="0" applyFont="1" applyFill="1" applyBorder="1" applyAlignment="1"/>
    <xf numFmtId="0" fontId="7" fillId="3" borderId="5" xfId="0" applyFont="1" applyFill="1" applyBorder="1" applyAlignment="1"/>
    <xf numFmtId="0" fontId="8" fillId="3" borderId="0" xfId="0" applyFont="1" applyFill="1" applyBorder="1" applyAlignment="1"/>
    <xf numFmtId="0" fontId="10" fillId="3" borderId="2" xfId="0" applyNumberFormat="1" applyFont="1" applyFill="1" applyBorder="1" applyAlignment="1" applyProtection="1">
      <alignment horizontal="left" vertical="top"/>
      <protection locked="0"/>
    </xf>
    <xf numFmtId="0" fontId="11" fillId="3" borderId="2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5" xfId="0" applyFont="1" applyFill="1" applyBorder="1" applyAlignment="1"/>
    <xf numFmtId="0" fontId="12" fillId="3" borderId="4" xfId="0" applyFont="1" applyFill="1" applyBorder="1" applyAlignment="1"/>
    <xf numFmtId="0" fontId="10" fillId="3" borderId="4" xfId="0" applyFont="1" applyFill="1" applyBorder="1" applyAlignment="1"/>
    <xf numFmtId="0" fontId="12" fillId="3" borderId="4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2" fillId="3" borderId="14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0" fillId="3" borderId="4" xfId="0" quotePrefix="1" applyFont="1" applyFill="1" applyBorder="1" applyAlignment="1">
      <alignment horizontal="left"/>
    </xf>
    <xf numFmtId="0" fontId="16" fillId="2" borderId="1" xfId="0" applyFont="1" applyFill="1" applyBorder="1" applyAlignment="1"/>
    <xf numFmtId="0" fontId="17" fillId="0" borderId="13" xfId="0" applyFont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65" fontId="17" fillId="0" borderId="13" xfId="0" applyNumberFormat="1" applyFont="1" applyBorder="1" applyAlignment="1">
      <alignment horizontal="center" vertical="center"/>
    </xf>
    <xf numFmtId="166" fontId="17" fillId="0" borderId="13" xfId="0" applyNumberFormat="1" applyFont="1" applyBorder="1" applyAlignment="1">
      <alignment horizontal="center" vertical="center"/>
    </xf>
    <xf numFmtId="0" fontId="20" fillId="0" borderId="13" xfId="1" applyBorder="1" applyAlignment="1">
      <alignment horizontal="center" vertical="center"/>
    </xf>
    <xf numFmtId="0" fontId="20" fillId="4" borderId="13" xfId="1" applyFill="1" applyBorder="1" applyAlignment="1">
      <alignment horizontal="center" vertical="center"/>
    </xf>
    <xf numFmtId="165" fontId="17" fillId="4" borderId="13" xfId="0" applyNumberFormat="1" applyFont="1" applyFill="1" applyBorder="1" applyAlignment="1">
      <alignment horizontal="center" vertical="center"/>
    </xf>
    <xf numFmtId="166" fontId="17" fillId="4" borderId="13" xfId="0" applyNumberFormat="1" applyFont="1" applyFill="1" applyBorder="1" applyAlignment="1">
      <alignment horizontal="center" vertical="center"/>
    </xf>
    <xf numFmtId="0" fontId="0" fillId="3" borderId="2" xfId="0" applyFont="1" applyFill="1" applyBorder="1"/>
    <xf numFmtId="0" fontId="9" fillId="5" borderId="25" xfId="0" applyFont="1" applyFill="1" applyBorder="1" applyAlignment="1">
      <alignment horizontal="center" vertical="center"/>
    </xf>
    <xf numFmtId="0" fontId="12" fillId="3" borderId="0" xfId="0" applyFont="1" applyFill="1" applyBorder="1" applyAlignment="1"/>
    <xf numFmtId="0" fontId="11" fillId="2" borderId="27" xfId="0" applyFont="1" applyFill="1" applyBorder="1" applyAlignment="1">
      <alignment horizontal="center" vertical="center" wrapText="1"/>
    </xf>
    <xf numFmtId="0" fontId="17" fillId="4" borderId="27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164" fontId="12" fillId="3" borderId="0" xfId="0" applyNumberFormat="1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2" borderId="19" xfId="0" applyFont="1" applyFill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20" fillId="0" borderId="16" xfId="1" applyBorder="1" applyAlignment="1">
      <alignment horizontal="center" vertical="center"/>
    </xf>
    <xf numFmtId="165" fontId="17" fillId="0" borderId="16" xfId="0" applyNumberFormat="1" applyFont="1" applyBorder="1" applyAlignment="1">
      <alignment horizontal="center" vertical="center"/>
    </xf>
    <xf numFmtId="166" fontId="17" fillId="0" borderId="16" xfId="0" applyNumberFormat="1" applyFont="1" applyBorder="1" applyAlignment="1">
      <alignment horizontal="center" vertical="center"/>
    </xf>
    <xf numFmtId="0" fontId="19" fillId="5" borderId="23" xfId="0" applyFont="1" applyFill="1" applyBorder="1" applyAlignment="1">
      <alignment horizontal="center" vertical="center"/>
    </xf>
    <xf numFmtId="0" fontId="19" fillId="5" borderId="29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1" fillId="2" borderId="19" xfId="0" quotePrefix="1" applyFont="1" applyFill="1" applyBorder="1" applyAlignment="1">
      <alignment horizontal="center" vertical="center" wrapText="1"/>
    </xf>
    <xf numFmtId="0" fontId="17" fillId="4" borderId="27" xfId="0" quotePrefix="1" applyFont="1" applyFill="1" applyBorder="1" applyAlignment="1">
      <alignment horizontal="center" vertical="center" wrapText="1"/>
    </xf>
    <xf numFmtId="0" fontId="11" fillId="4" borderId="27" xfId="0" quotePrefix="1" applyFont="1" applyFill="1" applyBorder="1" applyAlignment="1">
      <alignment horizontal="center" vertical="center" wrapText="1"/>
    </xf>
    <xf numFmtId="0" fontId="11" fillId="2" borderId="27" xfId="0" quotePrefix="1" applyFont="1" applyFill="1" applyBorder="1" applyAlignment="1">
      <alignment horizontal="center" vertical="center" wrapText="1"/>
    </xf>
    <xf numFmtId="0" fontId="17" fillId="2" borderId="27" xfId="0" quotePrefix="1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1" fillId="4" borderId="3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31" xfId="0" quotePrefix="1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9" fillId="3" borderId="10" xfId="0" quotePrefix="1" applyFont="1" applyFill="1" applyBorder="1" applyAlignment="1">
      <alignment horizontal="center" vertical="center" wrapText="1"/>
    </xf>
    <xf numFmtId="0" fontId="9" fillId="3" borderId="7" xfId="0" quotePrefix="1" applyFont="1" applyFill="1" applyBorder="1" applyAlignment="1">
      <alignment horizontal="center" vertical="center" wrapText="1"/>
    </xf>
    <xf numFmtId="0" fontId="0" fillId="3" borderId="24" xfId="0" applyFont="1" applyFill="1" applyBorder="1"/>
    <xf numFmtId="0" fontId="11" fillId="2" borderId="5" xfId="0" quotePrefix="1" applyFont="1" applyFill="1" applyBorder="1" applyAlignment="1">
      <alignment horizontal="center" vertical="center" wrapText="1"/>
    </xf>
    <xf numFmtId="0" fontId="11" fillId="4" borderId="5" xfId="0" quotePrefix="1" applyFont="1" applyFill="1" applyBorder="1" applyAlignment="1">
      <alignment horizontal="center" vertical="center" wrapText="1"/>
    </xf>
    <xf numFmtId="0" fontId="17" fillId="4" borderId="5" xfId="0" quotePrefix="1" applyFont="1" applyFill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/>
    </xf>
    <xf numFmtId="0" fontId="17" fillId="4" borderId="27" xfId="0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165" fontId="17" fillId="4" borderId="21" xfId="0" applyNumberFormat="1" applyFont="1" applyFill="1" applyBorder="1" applyAlignment="1">
      <alignment horizontal="center" vertical="center"/>
    </xf>
    <xf numFmtId="166" fontId="17" fillId="4" borderId="21" xfId="0" applyNumberFormat="1" applyFont="1" applyFill="1" applyBorder="1" applyAlignment="1">
      <alignment horizontal="center" vertical="center"/>
    </xf>
    <xf numFmtId="166" fontId="14" fillId="3" borderId="32" xfId="0" quotePrefix="1" applyNumberFormat="1" applyFont="1" applyFill="1" applyBorder="1" applyAlignment="1">
      <alignment horizontal="center" vertical="center" wrapText="1"/>
    </xf>
    <xf numFmtId="166" fontId="14" fillId="3" borderId="33" xfId="0" quotePrefix="1" applyNumberFormat="1" applyFont="1" applyFill="1" applyBorder="1" applyAlignment="1">
      <alignment horizontal="center" vertical="center" wrapText="1"/>
    </xf>
    <xf numFmtId="166" fontId="14" fillId="3" borderId="15" xfId="0" quotePrefix="1" applyNumberFormat="1" applyFont="1" applyFill="1" applyBorder="1" applyAlignment="1">
      <alignment horizontal="center" vertical="center" wrapText="1"/>
    </xf>
    <xf numFmtId="166" fontId="14" fillId="3" borderId="26" xfId="0" quotePrefix="1" applyNumberFormat="1" applyFont="1" applyFill="1" applyBorder="1" applyAlignment="1">
      <alignment horizontal="center" vertical="center" wrapText="1"/>
    </xf>
    <xf numFmtId="166" fontId="14" fillId="3" borderId="27" xfId="0" quotePrefix="1" applyNumberFormat="1" applyFont="1" applyFill="1" applyBorder="1" applyAlignment="1">
      <alignment horizontal="center" vertical="center" wrapText="1"/>
    </xf>
    <xf numFmtId="166" fontId="14" fillId="3" borderId="28" xfId="0" quotePrefix="1" applyNumberFormat="1" applyFont="1" applyFill="1" applyBorder="1" applyAlignment="1">
      <alignment horizontal="center" vertical="center" wrapText="1"/>
    </xf>
    <xf numFmtId="0" fontId="9" fillId="3" borderId="34" xfId="0" quotePrefix="1" applyFont="1" applyFill="1" applyBorder="1" applyAlignment="1">
      <alignment horizontal="center" vertical="center" wrapText="1"/>
    </xf>
    <xf numFmtId="0" fontId="0" fillId="3" borderId="5" xfId="0" applyFont="1" applyFill="1" applyBorder="1"/>
    <xf numFmtId="0" fontId="0" fillId="3" borderId="20" xfId="0" applyFont="1" applyFill="1" applyBorder="1"/>
    <xf numFmtId="166" fontId="22" fillId="4" borderId="13" xfId="0" applyNumberFormat="1" applyFont="1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20" fillId="4" borderId="21" xfId="1" applyFill="1" applyBorder="1" applyAlignment="1">
      <alignment horizontal="center" vertical="center"/>
    </xf>
    <xf numFmtId="0" fontId="17" fillId="0" borderId="13" xfId="0" quotePrefix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1" fillId="3" borderId="22" xfId="0" applyNumberFormat="1" applyFont="1" applyFill="1" applyBorder="1" applyAlignment="1" applyProtection="1">
      <alignment horizontal="center" vertical="top"/>
      <protection locked="0"/>
    </xf>
    <xf numFmtId="0" fontId="21" fillId="3" borderId="11" xfId="0" applyNumberFormat="1" applyFont="1" applyFill="1" applyBorder="1" applyAlignment="1" applyProtection="1">
      <alignment horizontal="center" vertical="top"/>
      <protection locked="0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4" fillId="3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21" fillId="3" borderId="9" xfId="0" applyNumberFormat="1" applyFont="1" applyFill="1" applyBorder="1" applyAlignment="1" applyProtection="1">
      <alignment horizontal="center" vertical="top"/>
      <protection locked="0"/>
    </xf>
    <xf numFmtId="0" fontId="21" fillId="3" borderId="10" xfId="0" applyNumberFormat="1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16565</xdr:colOff>
      <xdr:row>2</xdr:row>
      <xdr:rowOff>10417</xdr:rowOff>
    </xdr:from>
    <xdr:ext cx="3205369" cy="1123058"/>
    <xdr:pic>
      <xdr:nvPicPr>
        <xdr:cNvPr id="4" name="Picture 3">
          <a:extLst>
            <a:ext uri="{FF2B5EF4-FFF2-40B4-BE49-F238E27FC236}">
              <a16:creationId xmlns:a16="http://schemas.microsoft.com/office/drawing/2014/main" id="{5F68CEB6-16CA-4B2E-B3B8-8BAF5AC01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047608" y="615047"/>
          <a:ext cx="3205369" cy="112305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Multilayer-Ceramic-Capacitors-MLCC-SMD-SMT_YAGEO-CC0402KRX7R8BB103_C327025.html" TargetMode="External"/><Relationship Id="rId18" Type="http://schemas.openxmlformats.org/officeDocument/2006/relationships/hyperlink" Target="https://lcsc.com/product-detail/Light-Emitting-Diodes-LED_Lite-On-LTST-C190KGKT_C125094.html" TargetMode="External"/><Relationship Id="rId26" Type="http://schemas.openxmlformats.org/officeDocument/2006/relationships/hyperlink" Target="https://lcsc.com/product-detail/Chip-Resistor-Surface-Mount_YAGEO-RC0402FR-07220KL_C138030.html" TargetMode="External"/><Relationship Id="rId39" Type="http://schemas.openxmlformats.org/officeDocument/2006/relationships/hyperlink" Target="https://www.aliexpress.com/item/1005002712679014.html?spm=a2g0o.productlist.0.0.68cc40e8kvdh7U&amp;algo_pvid=f52128ac-d8db-4bb5-8113-2cb301d02d43&amp;algo_exp_id=f52128ac-d8db-4bb5-8113-2cb301d02d43-2&amp;pdp_ext_f=%7B%22sku_id%22%3A%2212000021822371701%22%7D&amp;pdp_npi=2%40dis%21USD%21%217.96%21%21%21%21%21%400b86d81616535670889031245e76da%2112000021822371701%21sea" TargetMode="External"/><Relationship Id="rId21" Type="http://schemas.openxmlformats.org/officeDocument/2006/relationships/hyperlink" Target="https://www.aliexpress.com/item/1005004099986775.html?spm=a2g0o.productlist.0.0.7c05543fUUHqit&amp;algo_pvid=66303d86-b231-421d-b692-116708e90763&amp;algo_exp_id=66303d86-b231-421d-b692-116708e90763-1&amp;pdp_ext_f=%7B%22sku_id%22%3A%2212000028029679891%22%7D&amp;pdp_npi=2%40dis%21USD%21%210.75%21%21%21%21%21%400bb47a1916535649916923733e2c44%2112000028029679891%21sea" TargetMode="External"/><Relationship Id="rId34" Type="http://schemas.openxmlformats.org/officeDocument/2006/relationships/hyperlink" Target="https://lcsc.com/product-detail/Chip-Resistor-Surface-Mount_UNI-ROYAL-Uniroyal-Elec-0402WGF1001TCE_C11702.html" TargetMode="External"/><Relationship Id="rId42" Type="http://schemas.openxmlformats.org/officeDocument/2006/relationships/hyperlink" Target="https://lcsc.com/product-detail/Crystals_Suzhou-Liming-Elec-49MD-8-000-20-20-20-A_C240959.html" TargetMode="External"/><Relationship Id="rId47" Type="http://schemas.openxmlformats.org/officeDocument/2006/relationships/drawing" Target="../drawings/drawing1.xml"/><Relationship Id="rId7" Type="http://schemas.openxmlformats.org/officeDocument/2006/relationships/hyperlink" Target="https://lcsc.com/product-detail/Multilayer-Ceramic-Capacitors-MLCC-SMD-SMT_Murata-Electronics-GRM033R61C473KE84D_C88917.html" TargetMode="External"/><Relationship Id="rId2" Type="http://schemas.openxmlformats.org/officeDocument/2006/relationships/hyperlink" Target="https://lcsc.com/product-detail/Multilayer-Ceramic-Capacitors-MLCC-SMD-SMT_Samsung-Electro-Mechanics-CL05A106MP8NUB8_C307415.html" TargetMode="External"/><Relationship Id="rId16" Type="http://schemas.openxmlformats.org/officeDocument/2006/relationships/hyperlink" Target="https://lcsc.com/product-detail/Ferrite-Beads_TDK-MMZ1005F121ET000_C89458.html" TargetMode="External"/><Relationship Id="rId29" Type="http://schemas.openxmlformats.org/officeDocument/2006/relationships/hyperlink" Target="https://lcsc.com/product-detail/Chip-Resistor-Surface-Mount_YAGEO-RC0402FR-07240RL_C114755.html" TargetMode="External"/><Relationship Id="rId1" Type="http://schemas.openxmlformats.org/officeDocument/2006/relationships/hyperlink" Target="https://www.aliexpress.com/item/1005004090230180.html?spm=a2g0o.productlist.0.0.6bb31426L2NOk8&amp;algo_pvid=279017c2-67ce-45e8-96ba-8d6c6d47ebd5&amp;algo_exp_id=279017c2-67ce-45e8-96ba-8d6c6d47ebd5-1&amp;pdp_ext_f=%7B%22sku_id%22%3A%2212000027997470935%22%7D&amp;pdp_npi=2%40dis%21USD%21%213.89%21%21%21%21%21%402132a25716535627781901436e4816%2112000027997470935%21sea" TargetMode="External"/><Relationship Id="rId6" Type="http://schemas.openxmlformats.org/officeDocument/2006/relationships/hyperlink" Target="https://lcsc.com/product-detail/Multilayer-Ceramic-Capacitors-MLCC-SMD-SMT_Murata-Electronics-GRM155R61E474KE01D_C437526.html" TargetMode="External"/><Relationship Id="rId11" Type="http://schemas.openxmlformats.org/officeDocument/2006/relationships/hyperlink" Target="https://lcsc.com/product-detail/Multilayer-Ceramic-Capacitors-MLCC-SMD-SMT_Taiyo-Yuden-TMK107BBJ106MA-T_C386081.html" TargetMode="External"/><Relationship Id="rId24" Type="http://schemas.openxmlformats.org/officeDocument/2006/relationships/hyperlink" Target="https://lcsc.com/product-detail/Chip-Resistor-Surface-Mount_YAGEO-RC0603JR-07390RL_C137632.html" TargetMode="External"/><Relationship Id="rId32" Type="http://schemas.openxmlformats.org/officeDocument/2006/relationships/hyperlink" Target="https://lcsc.com/product-detail/Chip-Resistor-Surface-Mount_YAGEO-AC0402FR-0754K9L_C227137.html" TargetMode="External"/><Relationship Id="rId37" Type="http://schemas.openxmlformats.org/officeDocument/2006/relationships/hyperlink" Target="https://lcsc.com/product-detail/DC-DC-Converters_Texas-Instruments-TPS563201DDCR_C116592.html" TargetMode="External"/><Relationship Id="rId40" Type="http://schemas.openxmlformats.org/officeDocument/2006/relationships/hyperlink" Target="https://lcsc.com/product-detail/Optocouplers-Phototransistor-Output_RENESAS-PS2801C-1-F3-A_C67112.html" TargetMode="External"/><Relationship Id="rId45" Type="http://schemas.openxmlformats.org/officeDocument/2006/relationships/hyperlink" Target="https://lcsc.com/product-detail/Chip-Resistor-Surface-Mount_PANASONIC-ERJ2GEJ103X_C278577.html" TargetMode="External"/><Relationship Id="rId5" Type="http://schemas.openxmlformats.org/officeDocument/2006/relationships/hyperlink" Target="https://lcsc.com/product-detail/Solid-Polymer-Electrolytic-Capacitor_PANASONIC-16SVPF180M_C136277.html" TargetMode="External"/><Relationship Id="rId15" Type="http://schemas.openxmlformats.org/officeDocument/2006/relationships/hyperlink" Target="https://lcsc.com/product-detail/Resettable-Fuses_BOURNS-MF-MSMF250-16X-2_C210838.html" TargetMode="External"/><Relationship Id="rId23" Type="http://schemas.openxmlformats.org/officeDocument/2006/relationships/hyperlink" Target="https://lcsc.com/product-detail/Chip-Resistor-Surface-Mount_YAGEO-RC0402FR-0733K2L_C130276.html" TargetMode="External"/><Relationship Id="rId28" Type="http://schemas.openxmlformats.org/officeDocument/2006/relationships/hyperlink" Target="https://lcsc.com/product-detail/Chip-Resistor-Surface-Mount_YAGEO-RC0402FR-07270KL_C163475.html" TargetMode="External"/><Relationship Id="rId36" Type="http://schemas.openxmlformats.org/officeDocument/2006/relationships/hyperlink" Target="https://www.aliexpress.com/item/1005004288227432.html?spm=a2g0o.productlist.0.0.58e511baagK4Mw&amp;algo_pvid=c70bd70e-89b1-4aab-bb42-1dae902f01b0&amp;algo_exp_id=c70bd70e-89b1-4aab-bb42-1dae902f01b0-0&amp;pdp_ext_f=%7B%22sku_id%22%3A%2212000028641669536%22%7D&amp;pdp_npi=2%40dis%21USD%21%217.24%21%21%21%21%21%402100bddd16535667883575953ec070%2112000028641669536%21sea" TargetMode="External"/><Relationship Id="rId10" Type="http://schemas.openxmlformats.org/officeDocument/2006/relationships/hyperlink" Target="https://lcsc.com/product-detail/Multilayer-Ceramic-Capacitors-MLCC-SMD-SMT_Murata-Electronics-GCM1555C1H470JA16D_C126511.html" TargetMode="External"/><Relationship Id="rId19" Type="http://schemas.openxmlformats.org/officeDocument/2006/relationships/hyperlink" Target="https://www.win-source.net/hot-sales-and-eol-components-qm3001k.html" TargetMode="External"/><Relationship Id="rId31" Type="http://schemas.openxmlformats.org/officeDocument/2006/relationships/hyperlink" Target="https://lcsc.com/product-detail/Chip-Resistor-Surface-Mount_YAGEO-RC0402FR-07330RL_C105875.html" TargetMode="External"/><Relationship Id="rId44" Type="http://schemas.openxmlformats.org/officeDocument/2006/relationships/hyperlink" Target="https://www.lcsc.com/product-detail/Schottky-Barrier-Diodes-SBD_Nexperia-PMEG6010ER-115_C456121.html" TargetMode="External"/><Relationship Id="rId4" Type="http://schemas.openxmlformats.org/officeDocument/2006/relationships/hyperlink" Target="https://lcsc.com/product-detail/Multilayer-Ceramic-Capacitors-MLCC-SMD-SMT_Samsung-Electro-Mechanics-CL21A226MAQNNNE_C2922481.html" TargetMode="External"/><Relationship Id="rId9" Type="http://schemas.openxmlformats.org/officeDocument/2006/relationships/hyperlink" Target="https://lcsc.com/product-detail/Multilayer-Ceramic-Capacitors-MLCC-SMD-SMT_Samsung-Electro-Mechanics-CL10A475KA8NQNC_C69335.html" TargetMode="External"/><Relationship Id="rId14" Type="http://schemas.openxmlformats.org/officeDocument/2006/relationships/hyperlink" Target="https://lcsc.com/product-detail/Multilayer-Ceramic-Capacitors-MLCC-SMD-SMT_YAGEO-CC0201JRNPO8BN200_C541204.html" TargetMode="External"/><Relationship Id="rId22" Type="http://schemas.openxmlformats.org/officeDocument/2006/relationships/hyperlink" Target="https://lcsc.com/product-detail/Chip-Resistor-Surface-Mount_YAGEO-RC0402FR-0710KL_C60490.html" TargetMode="External"/><Relationship Id="rId27" Type="http://schemas.openxmlformats.org/officeDocument/2006/relationships/hyperlink" Target="https://lcsc.com/product-detail/Chip-Resistor-Surface-Mount_YAGEO-RC0402FR-07100RL_C2935235.html" TargetMode="External"/><Relationship Id="rId30" Type="http://schemas.openxmlformats.org/officeDocument/2006/relationships/hyperlink" Target="https://lcsc.com/product-detail/Chip-Resistor-Surface-Mount_UNI-ROYAL-Uniroyal-Elec-0402WGF270JTCE_C25100.html" TargetMode="External"/><Relationship Id="rId35" Type="http://schemas.openxmlformats.org/officeDocument/2006/relationships/hyperlink" Target="https://lcsc.com/product-detail/Tactile-Switches_Omron-Electronics-B3U-1000P_C231329.html" TargetMode="External"/><Relationship Id="rId43" Type="http://schemas.openxmlformats.org/officeDocument/2006/relationships/hyperlink" Target="https://www.lcsc.com/product-detail/span-style-background-color-ff0-Screw-span-span-style-background-color-ff0-terminal-span_DIBO-DB128V-5-0-12P-GN-S_C424688.html" TargetMode="External"/><Relationship Id="rId8" Type="http://schemas.openxmlformats.org/officeDocument/2006/relationships/hyperlink" Target="https://lcsc.com/product-detail/Multilayer-Ceramic-Capacitors-MLCC-SMD-SMT_Murata-Electronics-GRM31CR61E476ME44L_C403725.html" TargetMode="External"/><Relationship Id="rId3" Type="http://schemas.openxmlformats.org/officeDocument/2006/relationships/hyperlink" Target="https://lcsc.com/product-detail/Multilayer-Ceramic-Capacitors-MLCC-SMD-SMT_YAGEO-CC0402KRX5R7BB104_C106204.html" TargetMode="External"/><Relationship Id="rId12" Type="http://schemas.openxmlformats.org/officeDocument/2006/relationships/hyperlink" Target="https://lcsc.com/product-detail/Multilayer-Ceramic-Capacitors-MLCC-SMD-SMT_Murata-Electronics-GRM155R61E105KA12D_C77009.html" TargetMode="External"/><Relationship Id="rId17" Type="http://schemas.openxmlformats.org/officeDocument/2006/relationships/hyperlink" Target="https://lcsc.com/product-detail/Power-Inductors_COILMX-MS0530-2R2M_C380163.html" TargetMode="External"/><Relationship Id="rId25" Type="http://schemas.openxmlformats.org/officeDocument/2006/relationships/hyperlink" Target="https://lcsc.com/product-detail/Chip-Resistor-Surface-Mount_YAGEO-RC0402FR-07330KL_C138006.html" TargetMode="External"/><Relationship Id="rId33" Type="http://schemas.openxmlformats.org/officeDocument/2006/relationships/hyperlink" Target="https://lcsc.com/product-detail/Chip-Resistor-Surface-Mount_YAGEO-RC0402JR-0720KL_C137902.html" TargetMode="External"/><Relationship Id="rId38" Type="http://schemas.openxmlformats.org/officeDocument/2006/relationships/hyperlink" Target="https://lcsc.com/product-detail/TVS_Littelfuse-SP3014-02UTG_C207282.html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www.aliexpress.com/item/4001135249774.html?spm=a2g0o.productlist.0.0.6d724fd0f330bp&amp;algo_pvid=456f119c-8398-496b-89ce-3b832e742bae&amp;algo_exp_id=456f119c-8398-496b-89ce-3b832e742bae-13&amp;pdp_ext_f=%7B%22sku_id%22%3A%2210000014747165284%22%7D&amp;pdp_npi=2%40dis%21USD%21%2119.9%21%21%214.27%21%21%402132a26616535646144938171e6126%2110000014747165284%21sea" TargetMode="External"/><Relationship Id="rId41" Type="http://schemas.openxmlformats.org/officeDocument/2006/relationships/hyperlink" Target="https://lcsc.com/product-detail/USB-Connectors_Amphenol-ICC-10118192-0001LF_C13256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61"/>
  <sheetViews>
    <sheetView tabSelected="1" topLeftCell="L42" zoomScale="60" zoomScaleNormal="60" workbookViewId="0">
      <selection activeCell="D31" sqref="D31"/>
    </sheetView>
  </sheetViews>
  <sheetFormatPr defaultRowHeight="15" x14ac:dyDescent="0.25"/>
  <cols>
    <col min="2" max="2" width="3.140625" style="25" customWidth="1"/>
    <col min="3" max="3" width="36" bestFit="1" customWidth="1"/>
    <col min="4" max="4" width="26.140625" customWidth="1"/>
    <col min="5" max="5" width="26.5703125" bestFit="1" customWidth="1"/>
    <col min="6" max="6" width="29.42578125" bestFit="1" customWidth="1"/>
    <col min="7" max="7" width="29.42578125" customWidth="1"/>
    <col min="8" max="8" width="18.85546875" bestFit="1" customWidth="1"/>
    <col min="9" max="9" width="18.85546875" customWidth="1"/>
    <col min="10" max="10" width="29.42578125" bestFit="1" customWidth="1"/>
    <col min="11" max="11" width="26.85546875" bestFit="1" customWidth="1"/>
    <col min="12" max="13" width="26.85546875" customWidth="1"/>
    <col min="14" max="15" width="26.85546875" bestFit="1" customWidth="1"/>
    <col min="16" max="16" width="26.85546875" customWidth="1"/>
    <col min="17" max="20" width="26.85546875" bestFit="1" customWidth="1"/>
    <col min="21" max="21" width="48.5703125" bestFit="1" customWidth="1"/>
  </cols>
  <sheetData>
    <row r="1" spans="1:21" ht="15.75" thickBot="1" x14ac:dyDescent="0.3">
      <c r="A1" s="1"/>
      <c r="B1" s="18"/>
      <c r="C1" s="2"/>
      <c r="D1" s="2"/>
      <c r="E1" s="2"/>
      <c r="F1" s="30"/>
      <c r="G1" s="30"/>
      <c r="H1" s="2"/>
      <c r="I1" s="2"/>
      <c r="J1" s="104"/>
      <c r="K1" s="105"/>
      <c r="L1" s="18"/>
      <c r="M1" s="18"/>
    </row>
    <row r="2" spans="1:21" ht="32.25" thickBot="1" x14ac:dyDescent="0.3">
      <c r="A2" s="1"/>
      <c r="B2" s="19"/>
      <c r="C2" s="9" t="s">
        <v>0</v>
      </c>
      <c r="D2" s="9"/>
      <c r="E2" s="26" t="s">
        <v>7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10"/>
      <c r="U2" s="111"/>
    </row>
    <row r="3" spans="1:21" x14ac:dyDescent="0.25">
      <c r="A3" s="1"/>
      <c r="B3" s="20"/>
      <c r="C3" s="11" t="s">
        <v>1</v>
      </c>
      <c r="D3" s="11"/>
      <c r="E3" s="27" t="s">
        <v>8</v>
      </c>
      <c r="F3" s="11"/>
      <c r="G3" s="11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108"/>
    </row>
    <row r="4" spans="1:21" x14ac:dyDescent="0.25">
      <c r="A4" s="1"/>
      <c r="B4" s="20"/>
      <c r="C4" s="11" t="s">
        <v>2</v>
      </c>
      <c r="D4" s="11"/>
      <c r="E4" s="28" t="s">
        <v>8</v>
      </c>
      <c r="F4" s="12"/>
      <c r="G4" s="12"/>
      <c r="H4" s="5"/>
      <c r="I4" s="5"/>
      <c r="J4" s="5"/>
      <c r="K4" s="4"/>
      <c r="L4" s="4"/>
      <c r="M4" s="4"/>
      <c r="N4" s="4"/>
      <c r="O4" s="4"/>
      <c r="P4" s="4"/>
      <c r="Q4" s="4"/>
      <c r="R4" s="4"/>
      <c r="S4" s="4"/>
      <c r="T4" s="4"/>
      <c r="U4" s="109"/>
    </row>
    <row r="5" spans="1:21" x14ac:dyDescent="0.25">
      <c r="A5" s="1"/>
      <c r="B5" s="20"/>
      <c r="C5" s="11" t="s">
        <v>3</v>
      </c>
      <c r="D5" s="11"/>
      <c r="E5" s="29" t="s">
        <v>9</v>
      </c>
      <c r="F5" s="13"/>
      <c r="G5" s="1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109"/>
    </row>
    <row r="6" spans="1:21" x14ac:dyDescent="0.25">
      <c r="A6" s="1"/>
      <c r="B6" s="21"/>
      <c r="C6" s="14"/>
      <c r="D6" s="14"/>
      <c r="E6" s="15"/>
      <c r="F6" s="13"/>
      <c r="G6" s="1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109"/>
    </row>
    <row r="7" spans="1:21" x14ac:dyDescent="0.25">
      <c r="A7" s="1"/>
      <c r="B7" s="22"/>
      <c r="C7" s="16"/>
      <c r="D7" s="16"/>
      <c r="E7" s="17"/>
      <c r="F7" s="16"/>
      <c r="G7" s="16"/>
      <c r="H7" s="6"/>
      <c r="I7" s="6"/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109"/>
    </row>
    <row r="8" spans="1:21" ht="15.75" thickBot="1" x14ac:dyDescent="0.3">
      <c r="A8" s="1"/>
      <c r="B8" s="23"/>
      <c r="C8" s="41"/>
      <c r="D8" s="41"/>
      <c r="E8" s="47"/>
      <c r="F8" s="16"/>
      <c r="G8" s="16"/>
      <c r="H8" s="6"/>
      <c r="I8" s="6"/>
      <c r="J8" s="6"/>
      <c r="K8" s="48"/>
      <c r="L8" s="48"/>
      <c r="M8" s="48"/>
      <c r="N8" s="48"/>
      <c r="O8" s="48"/>
      <c r="P8" s="48"/>
      <c r="Q8" s="48"/>
      <c r="R8" s="48"/>
      <c r="S8" s="48"/>
      <c r="T8" s="48"/>
      <c r="U8" s="109"/>
    </row>
    <row r="9" spans="1:21" ht="15.75" thickBot="1" x14ac:dyDescent="0.3">
      <c r="A9" s="1"/>
      <c r="B9" s="40" t="s">
        <v>4</v>
      </c>
      <c r="C9" s="54" t="s">
        <v>10</v>
      </c>
      <c r="D9" s="54" t="s">
        <v>53</v>
      </c>
      <c r="E9" s="54" t="s">
        <v>101</v>
      </c>
      <c r="F9" s="57" t="s">
        <v>125</v>
      </c>
      <c r="G9" s="54" t="s">
        <v>232</v>
      </c>
      <c r="H9" s="57" t="s">
        <v>152</v>
      </c>
      <c r="I9" s="54" t="s">
        <v>230</v>
      </c>
      <c r="J9" s="57" t="s">
        <v>177</v>
      </c>
      <c r="K9" s="54" t="s">
        <v>205</v>
      </c>
      <c r="L9" s="55" t="s">
        <v>228</v>
      </c>
      <c r="M9" s="55" t="s">
        <v>229</v>
      </c>
      <c r="N9" s="55" t="s">
        <v>222</v>
      </c>
      <c r="O9" s="55" t="s">
        <v>223</v>
      </c>
      <c r="P9" s="55" t="s">
        <v>271</v>
      </c>
      <c r="Q9" s="55" t="s">
        <v>225</v>
      </c>
      <c r="R9" s="55" t="s">
        <v>224</v>
      </c>
      <c r="S9" s="55" t="s">
        <v>226</v>
      </c>
      <c r="T9" s="55" t="s">
        <v>227</v>
      </c>
      <c r="U9" s="55" t="s">
        <v>292</v>
      </c>
    </row>
    <row r="10" spans="1:21" x14ac:dyDescent="0.25">
      <c r="A10" s="1"/>
      <c r="B10" s="56">
        <f>ROW(B10) - ROW($B$9)</f>
        <v>1</v>
      </c>
      <c r="C10" s="49" t="s">
        <v>11</v>
      </c>
      <c r="D10" s="49" t="s">
        <v>54</v>
      </c>
      <c r="E10" s="49" t="s">
        <v>102</v>
      </c>
      <c r="F10" s="58" t="s">
        <v>126</v>
      </c>
      <c r="G10" s="65" t="s">
        <v>209</v>
      </c>
      <c r="H10" s="58" t="s">
        <v>153</v>
      </c>
      <c r="I10" s="49" t="s">
        <v>273</v>
      </c>
      <c r="J10" s="58" t="s">
        <v>178</v>
      </c>
      <c r="K10" s="86">
        <v>4</v>
      </c>
      <c r="L10" s="50">
        <f>K10*10</f>
        <v>40</v>
      </c>
      <c r="M10" s="50">
        <f>K10*100</f>
        <v>400</v>
      </c>
      <c r="N10" s="50">
        <v>45</v>
      </c>
      <c r="O10" s="50">
        <v>420</v>
      </c>
      <c r="P10" s="51" t="s">
        <v>274</v>
      </c>
      <c r="Q10" s="52">
        <v>0.15260000000000001</v>
      </c>
      <c r="R10" s="53">
        <f>Q10*N10</f>
        <v>6.8670000000000009</v>
      </c>
      <c r="S10" s="52">
        <v>0.1162</v>
      </c>
      <c r="T10" s="53">
        <f>S10*O10</f>
        <v>48.804000000000002</v>
      </c>
      <c r="U10" s="53"/>
    </row>
    <row r="11" spans="1:21" ht="25.5" x14ac:dyDescent="0.25">
      <c r="A11" s="1"/>
      <c r="B11" s="56">
        <f t="shared" ref="B11:B57" si="0">ROW(B11) - ROW($B$9)</f>
        <v>2</v>
      </c>
      <c r="C11" s="43" t="s">
        <v>206</v>
      </c>
      <c r="D11" s="43" t="s">
        <v>55</v>
      </c>
      <c r="E11" s="43" t="s">
        <v>102</v>
      </c>
      <c r="F11" s="59" t="s">
        <v>127</v>
      </c>
      <c r="G11" s="66" t="s">
        <v>209</v>
      </c>
      <c r="H11" s="59" t="s">
        <v>154</v>
      </c>
      <c r="I11" s="43" t="s">
        <v>231</v>
      </c>
      <c r="J11" s="59" t="s">
        <v>179</v>
      </c>
      <c r="K11" s="87">
        <v>14</v>
      </c>
      <c r="L11" s="32">
        <f t="shared" ref="L11:L57" si="1">K11*10</f>
        <v>140</v>
      </c>
      <c r="M11" s="32">
        <f t="shared" ref="M11:M57" si="2">K11*100</f>
        <v>1400</v>
      </c>
      <c r="N11" s="32">
        <v>200</v>
      </c>
      <c r="O11" s="32">
        <v>1500</v>
      </c>
      <c r="P11" s="36" t="s">
        <v>274</v>
      </c>
      <c r="Q11" s="37">
        <v>1.1999999999999999E-3</v>
      </c>
      <c r="R11" s="38">
        <f t="shared" ref="R11:R57" si="3">Q11*N11</f>
        <v>0.24</v>
      </c>
      <c r="S11" s="37">
        <v>8.9999999999999998E-4</v>
      </c>
      <c r="T11" s="38">
        <f t="shared" ref="T11:T57" si="4">S11*O11</f>
        <v>1.3499999999999999</v>
      </c>
      <c r="U11" s="38"/>
    </row>
    <row r="12" spans="1:21" x14ac:dyDescent="0.25">
      <c r="A12" s="1"/>
      <c r="B12" s="56">
        <f>ROW(B12) - ROW($B$9)</f>
        <v>3</v>
      </c>
      <c r="C12" s="44" t="s">
        <v>207</v>
      </c>
      <c r="D12" s="44" t="s">
        <v>56</v>
      </c>
      <c r="E12" s="44" t="s">
        <v>103</v>
      </c>
      <c r="F12" s="60" t="s">
        <v>128</v>
      </c>
      <c r="G12" s="44" t="s">
        <v>265</v>
      </c>
      <c r="H12" s="64" t="s">
        <v>155</v>
      </c>
      <c r="I12" s="44" t="s">
        <v>266</v>
      </c>
      <c r="J12" s="64" t="s">
        <v>180</v>
      </c>
      <c r="K12" s="88">
        <v>2</v>
      </c>
      <c r="L12" s="31">
        <f t="shared" si="1"/>
        <v>20</v>
      </c>
      <c r="M12" s="31">
        <f t="shared" si="2"/>
        <v>200</v>
      </c>
      <c r="N12" s="31">
        <v>40</v>
      </c>
      <c r="O12" s="31">
        <v>220</v>
      </c>
      <c r="P12" s="35" t="s">
        <v>274</v>
      </c>
      <c r="Q12" s="33">
        <v>2.7099999999999999E-2</v>
      </c>
      <c r="R12" s="34">
        <f t="shared" si="3"/>
        <v>1.0840000000000001</v>
      </c>
      <c r="S12" s="33">
        <v>2.0899999999999998E-2</v>
      </c>
      <c r="T12" s="34">
        <f t="shared" si="4"/>
        <v>4.5979999999999999</v>
      </c>
      <c r="U12" s="34"/>
    </row>
    <row r="13" spans="1:21" ht="25.5" x14ac:dyDescent="0.25">
      <c r="A13" s="1"/>
      <c r="B13" s="56">
        <f t="shared" si="0"/>
        <v>4</v>
      </c>
      <c r="C13" s="45" t="s">
        <v>12</v>
      </c>
      <c r="D13" s="45" t="s">
        <v>57</v>
      </c>
      <c r="E13" s="45" t="s">
        <v>211</v>
      </c>
      <c r="F13" s="61" t="s">
        <v>104</v>
      </c>
      <c r="G13" s="67" t="s">
        <v>212</v>
      </c>
      <c r="H13" s="61" t="s">
        <v>156</v>
      </c>
      <c r="I13" s="45" t="s">
        <v>233</v>
      </c>
      <c r="J13" s="61" t="s">
        <v>181</v>
      </c>
      <c r="K13" s="87">
        <v>1</v>
      </c>
      <c r="L13" s="32">
        <f t="shared" si="1"/>
        <v>10</v>
      </c>
      <c r="M13" s="32">
        <f t="shared" si="2"/>
        <v>100</v>
      </c>
      <c r="N13" s="32">
        <v>12</v>
      </c>
      <c r="O13" s="32">
        <v>110</v>
      </c>
      <c r="P13" s="36" t="s">
        <v>274</v>
      </c>
      <c r="Q13" s="37">
        <v>0.53200000000000003</v>
      </c>
      <c r="R13" s="38">
        <f t="shared" si="3"/>
        <v>6.3840000000000003</v>
      </c>
      <c r="S13" s="37">
        <v>0.53200000000000003</v>
      </c>
      <c r="T13" s="38">
        <f t="shared" si="4"/>
        <v>58.52</v>
      </c>
      <c r="U13" s="38"/>
    </row>
    <row r="14" spans="1:21" x14ac:dyDescent="0.25">
      <c r="A14" s="1"/>
      <c r="B14" s="56">
        <f>ROW(B14) - ROW($B$9)</f>
        <v>5</v>
      </c>
      <c r="C14" s="42" t="s">
        <v>13</v>
      </c>
      <c r="D14" s="42" t="s">
        <v>58</v>
      </c>
      <c r="E14" s="42" t="s">
        <v>102</v>
      </c>
      <c r="F14" s="60" t="s">
        <v>129</v>
      </c>
      <c r="G14" s="42" t="s">
        <v>267</v>
      </c>
      <c r="H14" s="62" t="s">
        <v>155</v>
      </c>
      <c r="I14" s="42" t="s">
        <v>268</v>
      </c>
      <c r="J14" s="62" t="s">
        <v>182</v>
      </c>
      <c r="K14" s="88">
        <v>1</v>
      </c>
      <c r="L14" s="31">
        <f t="shared" si="1"/>
        <v>10</v>
      </c>
      <c r="M14" s="31">
        <f t="shared" si="2"/>
        <v>100</v>
      </c>
      <c r="N14" s="31">
        <v>50</v>
      </c>
      <c r="O14" s="31">
        <v>150</v>
      </c>
      <c r="P14" s="35" t="s">
        <v>274</v>
      </c>
      <c r="Q14" s="33">
        <v>1.9400000000000001E-2</v>
      </c>
      <c r="R14" s="34">
        <f t="shared" si="3"/>
        <v>0.97</v>
      </c>
      <c r="S14" s="33">
        <v>1.9400000000000001E-2</v>
      </c>
      <c r="T14" s="34">
        <f t="shared" si="4"/>
        <v>2.91</v>
      </c>
      <c r="U14" s="34"/>
    </row>
    <row r="15" spans="1:21" x14ac:dyDescent="0.25">
      <c r="A15" s="1"/>
      <c r="B15" s="56">
        <f t="shared" si="0"/>
        <v>6</v>
      </c>
      <c r="C15" s="45" t="s">
        <v>14</v>
      </c>
      <c r="D15" s="45" t="s">
        <v>59</v>
      </c>
      <c r="E15" s="45" t="s">
        <v>105</v>
      </c>
      <c r="F15" s="61" t="s">
        <v>130</v>
      </c>
      <c r="G15" s="67" t="s">
        <v>212</v>
      </c>
      <c r="H15" s="61" t="s">
        <v>155</v>
      </c>
      <c r="I15" s="45" t="s">
        <v>234</v>
      </c>
      <c r="J15" s="61" t="s">
        <v>183</v>
      </c>
      <c r="K15" s="87">
        <v>1</v>
      </c>
      <c r="L15" s="32">
        <f t="shared" si="1"/>
        <v>10</v>
      </c>
      <c r="M15" s="32">
        <f t="shared" si="2"/>
        <v>100</v>
      </c>
      <c r="N15" s="32">
        <v>50</v>
      </c>
      <c r="O15" s="32">
        <v>150</v>
      </c>
      <c r="P15" s="36" t="s">
        <v>274</v>
      </c>
      <c r="Q15" s="37">
        <v>1.0699999999999999E-2</v>
      </c>
      <c r="R15" s="38">
        <f t="shared" si="3"/>
        <v>0.53499999999999992</v>
      </c>
      <c r="S15" s="37">
        <v>1.0699999999999999E-2</v>
      </c>
      <c r="T15" s="38">
        <f t="shared" si="4"/>
        <v>1.605</v>
      </c>
      <c r="U15" s="38"/>
    </row>
    <row r="16" spans="1:21" x14ac:dyDescent="0.25">
      <c r="A16" s="1"/>
      <c r="B16" s="56">
        <f>ROW(B16) - ROW($B$9)</f>
        <v>7</v>
      </c>
      <c r="C16" s="42" t="s">
        <v>15</v>
      </c>
      <c r="D16" s="42" t="s">
        <v>60</v>
      </c>
      <c r="E16" s="42" t="s">
        <v>106</v>
      </c>
      <c r="F16" s="62" t="s">
        <v>131</v>
      </c>
      <c r="G16" s="68" t="s">
        <v>209</v>
      </c>
      <c r="H16" s="62" t="s">
        <v>155</v>
      </c>
      <c r="I16" s="42" t="s">
        <v>235</v>
      </c>
      <c r="J16" s="62" t="s">
        <v>184</v>
      </c>
      <c r="K16" s="88">
        <v>2</v>
      </c>
      <c r="L16" s="31">
        <f t="shared" si="1"/>
        <v>20</v>
      </c>
      <c r="M16" s="31">
        <f t="shared" si="2"/>
        <v>200</v>
      </c>
      <c r="N16" s="31">
        <v>25</v>
      </c>
      <c r="O16" s="31">
        <v>210</v>
      </c>
      <c r="P16" s="35" t="s">
        <v>274</v>
      </c>
      <c r="Q16" s="33">
        <v>0.29580000000000001</v>
      </c>
      <c r="R16" s="34">
        <f t="shared" si="3"/>
        <v>7.3950000000000005</v>
      </c>
      <c r="S16" s="33">
        <v>0.23449999999999999</v>
      </c>
      <c r="T16" s="34">
        <f t="shared" si="4"/>
        <v>49.244999999999997</v>
      </c>
      <c r="U16" s="34"/>
    </row>
    <row r="17" spans="1:21" x14ac:dyDescent="0.25">
      <c r="A17" s="1"/>
      <c r="B17" s="56">
        <f t="shared" si="0"/>
        <v>8</v>
      </c>
      <c r="C17" s="45" t="s">
        <v>16</v>
      </c>
      <c r="D17" s="45" t="s">
        <v>61</v>
      </c>
      <c r="E17" s="45" t="s">
        <v>107</v>
      </c>
      <c r="F17" s="61" t="s">
        <v>132</v>
      </c>
      <c r="G17" s="67" t="s">
        <v>209</v>
      </c>
      <c r="H17" s="61" t="s">
        <v>153</v>
      </c>
      <c r="I17" s="45" t="s">
        <v>236</v>
      </c>
      <c r="J17" s="61" t="s">
        <v>185</v>
      </c>
      <c r="K17" s="87">
        <v>2</v>
      </c>
      <c r="L17" s="32">
        <f t="shared" si="1"/>
        <v>20</v>
      </c>
      <c r="M17" s="32">
        <f t="shared" si="2"/>
        <v>200</v>
      </c>
      <c r="N17" s="32">
        <v>40</v>
      </c>
      <c r="O17" s="32">
        <v>220</v>
      </c>
      <c r="P17" s="36" t="s">
        <v>274</v>
      </c>
      <c r="Q17" s="37">
        <v>2.0799999999999999E-2</v>
      </c>
      <c r="R17" s="38">
        <f t="shared" si="3"/>
        <v>0.83199999999999996</v>
      </c>
      <c r="S17" s="37">
        <v>1.6500000000000001E-2</v>
      </c>
      <c r="T17" s="38">
        <f t="shared" si="4"/>
        <v>3.6300000000000003</v>
      </c>
      <c r="U17" s="38"/>
    </row>
    <row r="18" spans="1:21" ht="25.5" x14ac:dyDescent="0.25">
      <c r="A18" s="1"/>
      <c r="B18" s="56">
        <f>ROW(B18) - ROW($B$9)</f>
        <v>9</v>
      </c>
      <c r="C18" s="42" t="s">
        <v>17</v>
      </c>
      <c r="D18" s="42" t="s">
        <v>62</v>
      </c>
      <c r="E18" s="42" t="s">
        <v>102</v>
      </c>
      <c r="F18" s="62" t="s">
        <v>208</v>
      </c>
      <c r="G18" s="68" t="s">
        <v>209</v>
      </c>
      <c r="H18" s="62" t="s">
        <v>155</v>
      </c>
      <c r="I18" s="42" t="s">
        <v>237</v>
      </c>
      <c r="J18" s="62" t="s">
        <v>186</v>
      </c>
      <c r="K18" s="88">
        <v>2</v>
      </c>
      <c r="L18" s="31">
        <f t="shared" si="1"/>
        <v>20</v>
      </c>
      <c r="M18" s="31">
        <f t="shared" si="2"/>
        <v>200</v>
      </c>
      <c r="N18" s="31">
        <v>50</v>
      </c>
      <c r="O18" s="31">
        <v>250</v>
      </c>
      <c r="P18" s="35" t="s">
        <v>274</v>
      </c>
      <c r="Q18" s="33">
        <v>1.03E-2</v>
      </c>
      <c r="R18" s="34">
        <f t="shared" si="3"/>
        <v>0.51500000000000001</v>
      </c>
      <c r="S18" s="33">
        <v>1.03E-2</v>
      </c>
      <c r="T18" s="34">
        <f t="shared" si="4"/>
        <v>2.5750000000000002</v>
      </c>
      <c r="U18" s="34"/>
    </row>
    <row r="19" spans="1:21" x14ac:dyDescent="0.25">
      <c r="A19" s="1"/>
      <c r="B19" s="56">
        <f t="shared" si="0"/>
        <v>10</v>
      </c>
      <c r="C19" s="45" t="s">
        <v>18</v>
      </c>
      <c r="D19" s="45" t="s">
        <v>63</v>
      </c>
      <c r="E19" s="45" t="s">
        <v>107</v>
      </c>
      <c r="F19" s="61" t="s">
        <v>133</v>
      </c>
      <c r="G19" s="67" t="s">
        <v>212</v>
      </c>
      <c r="H19" s="61" t="s">
        <v>157</v>
      </c>
      <c r="I19" s="45" t="s">
        <v>238</v>
      </c>
      <c r="J19" s="61" t="s">
        <v>178</v>
      </c>
      <c r="K19" s="87">
        <v>2</v>
      </c>
      <c r="L19" s="32">
        <f t="shared" si="1"/>
        <v>20</v>
      </c>
      <c r="M19" s="32">
        <f t="shared" si="2"/>
        <v>200</v>
      </c>
      <c r="N19" s="32">
        <v>40</v>
      </c>
      <c r="O19" s="32">
        <v>220</v>
      </c>
      <c r="P19" s="36" t="s">
        <v>274</v>
      </c>
      <c r="Q19" s="37">
        <v>3.61E-2</v>
      </c>
      <c r="R19" s="38">
        <f t="shared" si="3"/>
        <v>1.444</v>
      </c>
      <c r="S19" s="37">
        <v>2.8799999999999999E-2</v>
      </c>
      <c r="T19" s="38">
        <f t="shared" si="4"/>
        <v>6.3359999999999994</v>
      </c>
      <c r="U19" s="38"/>
    </row>
    <row r="20" spans="1:21" x14ac:dyDescent="0.25">
      <c r="A20" s="1"/>
      <c r="B20" s="56">
        <f>ROW(B20) - ROW($B$9)</f>
        <v>11</v>
      </c>
      <c r="C20" s="42" t="s">
        <v>19</v>
      </c>
      <c r="D20" s="42" t="s">
        <v>64</v>
      </c>
      <c r="E20" s="42" t="s">
        <v>102</v>
      </c>
      <c r="F20" s="62" t="s">
        <v>134</v>
      </c>
      <c r="G20" s="68" t="s">
        <v>209</v>
      </c>
      <c r="H20" s="62" t="s">
        <v>155</v>
      </c>
      <c r="I20" s="42" t="s">
        <v>239</v>
      </c>
      <c r="J20" s="62" t="s">
        <v>187</v>
      </c>
      <c r="K20" s="88">
        <v>1</v>
      </c>
      <c r="L20" s="31">
        <f t="shared" si="1"/>
        <v>10</v>
      </c>
      <c r="M20" s="31">
        <f t="shared" si="2"/>
        <v>100</v>
      </c>
      <c r="N20" s="31">
        <v>50</v>
      </c>
      <c r="O20" s="31">
        <v>150</v>
      </c>
      <c r="P20" s="35" t="s">
        <v>274</v>
      </c>
      <c r="Q20" s="33">
        <v>6.4000000000000003E-3</v>
      </c>
      <c r="R20" s="34">
        <f t="shared" si="3"/>
        <v>0.32</v>
      </c>
      <c r="S20" s="33">
        <v>6.4000000000000003E-3</v>
      </c>
      <c r="T20" s="34">
        <f t="shared" si="4"/>
        <v>0.96000000000000008</v>
      </c>
      <c r="U20" s="34"/>
    </row>
    <row r="21" spans="1:21" ht="25.5" x14ac:dyDescent="0.25">
      <c r="A21" s="1"/>
      <c r="B21" s="56">
        <f t="shared" si="0"/>
        <v>12</v>
      </c>
      <c r="C21" s="45" t="s">
        <v>20</v>
      </c>
      <c r="D21" s="45" t="s">
        <v>65</v>
      </c>
      <c r="E21" s="45" t="s">
        <v>102</v>
      </c>
      <c r="F21" s="61" t="s">
        <v>135</v>
      </c>
      <c r="G21" s="67" t="s">
        <v>210</v>
      </c>
      <c r="H21" s="61" t="s">
        <v>154</v>
      </c>
      <c r="I21" s="45" t="s">
        <v>240</v>
      </c>
      <c r="J21" s="61" t="s">
        <v>188</v>
      </c>
      <c r="K21" s="87">
        <v>1</v>
      </c>
      <c r="L21" s="32">
        <f t="shared" si="1"/>
        <v>10</v>
      </c>
      <c r="M21" s="32">
        <f t="shared" si="2"/>
        <v>100</v>
      </c>
      <c r="N21" s="32">
        <v>100</v>
      </c>
      <c r="O21" s="32">
        <v>200</v>
      </c>
      <c r="P21" s="36" t="s">
        <v>274</v>
      </c>
      <c r="Q21" s="37">
        <v>1.2999999999999999E-3</v>
      </c>
      <c r="R21" s="38">
        <f t="shared" si="3"/>
        <v>0.13</v>
      </c>
      <c r="S21" s="37">
        <v>1.2999999999999999E-3</v>
      </c>
      <c r="T21" s="38">
        <f t="shared" si="4"/>
        <v>0.26</v>
      </c>
      <c r="U21" s="38"/>
    </row>
    <row r="22" spans="1:21" x14ac:dyDescent="0.25">
      <c r="A22" s="1"/>
      <c r="B22" s="56">
        <f>ROW(B22) - ROW($B$9)</f>
        <v>13</v>
      </c>
      <c r="C22" s="42" t="s">
        <v>21</v>
      </c>
      <c r="D22" s="42" t="s">
        <v>66</v>
      </c>
      <c r="E22" s="42" t="s">
        <v>105</v>
      </c>
      <c r="F22" s="60" t="s">
        <v>136</v>
      </c>
      <c r="G22" s="42" t="s">
        <v>269</v>
      </c>
      <c r="H22" s="62" t="s">
        <v>155</v>
      </c>
      <c r="I22" s="42" t="s">
        <v>270</v>
      </c>
      <c r="J22" s="62" t="s">
        <v>189</v>
      </c>
      <c r="K22" s="88">
        <v>2</v>
      </c>
      <c r="L22" s="31">
        <f t="shared" si="1"/>
        <v>20</v>
      </c>
      <c r="M22" s="31">
        <f t="shared" si="2"/>
        <v>200</v>
      </c>
      <c r="N22" s="31">
        <v>100</v>
      </c>
      <c r="O22" s="31">
        <v>300</v>
      </c>
      <c r="P22" s="35" t="s">
        <v>274</v>
      </c>
      <c r="Q22" s="33">
        <v>1.2999999999999999E-3</v>
      </c>
      <c r="R22" s="34">
        <f t="shared" si="3"/>
        <v>0.13</v>
      </c>
      <c r="S22" s="33">
        <v>1.2999999999999999E-3</v>
      </c>
      <c r="T22" s="34">
        <f t="shared" si="4"/>
        <v>0.38999999999999996</v>
      </c>
      <c r="U22" s="34"/>
    </row>
    <row r="23" spans="1:21" ht="25.5" x14ac:dyDescent="0.25">
      <c r="A23" s="1"/>
      <c r="B23" s="56">
        <f t="shared" si="0"/>
        <v>14</v>
      </c>
      <c r="C23" s="45" t="s">
        <v>22</v>
      </c>
      <c r="D23" s="45" t="s">
        <v>67</v>
      </c>
      <c r="E23" s="45" t="s">
        <v>291</v>
      </c>
      <c r="F23" s="63" t="s">
        <v>108</v>
      </c>
      <c r="G23" s="45" t="s">
        <v>293</v>
      </c>
      <c r="H23" s="61" t="s">
        <v>158</v>
      </c>
      <c r="I23" s="45" t="s">
        <v>294</v>
      </c>
      <c r="J23" s="84" t="s">
        <v>210</v>
      </c>
      <c r="K23" s="87">
        <v>2</v>
      </c>
      <c r="L23" s="32">
        <f t="shared" si="1"/>
        <v>20</v>
      </c>
      <c r="M23" s="32">
        <f t="shared" si="2"/>
        <v>200</v>
      </c>
      <c r="N23" s="32">
        <v>22</v>
      </c>
      <c r="O23" s="32">
        <v>210</v>
      </c>
      <c r="P23" s="36" t="s">
        <v>274</v>
      </c>
      <c r="Q23" s="37">
        <v>0.16539999999999999</v>
      </c>
      <c r="R23" s="38">
        <f t="shared" si="3"/>
        <v>3.6387999999999998</v>
      </c>
      <c r="S23" s="37">
        <v>0.13650000000000001</v>
      </c>
      <c r="T23" s="38">
        <f t="shared" si="4"/>
        <v>28.665000000000003</v>
      </c>
      <c r="U23" s="100"/>
    </row>
    <row r="24" spans="1:21" x14ac:dyDescent="0.25">
      <c r="A24" s="1"/>
      <c r="B24" s="56">
        <f>ROW(B24) - ROW($B$9)</f>
        <v>15</v>
      </c>
      <c r="C24" s="42" t="s">
        <v>23</v>
      </c>
      <c r="D24" s="42" t="s">
        <v>68</v>
      </c>
      <c r="E24" s="42">
        <v>1812</v>
      </c>
      <c r="F24" s="62" t="s">
        <v>109</v>
      </c>
      <c r="G24" s="68" t="s">
        <v>209</v>
      </c>
      <c r="H24" s="62" t="s">
        <v>159</v>
      </c>
      <c r="I24" s="42" t="s">
        <v>241</v>
      </c>
      <c r="J24" s="83" t="s">
        <v>210</v>
      </c>
      <c r="K24" s="88">
        <v>1</v>
      </c>
      <c r="L24" s="31">
        <f t="shared" si="1"/>
        <v>10</v>
      </c>
      <c r="M24" s="31">
        <f t="shared" si="2"/>
        <v>100</v>
      </c>
      <c r="N24" s="31">
        <v>12</v>
      </c>
      <c r="O24" s="31">
        <v>110</v>
      </c>
      <c r="P24" s="35" t="s">
        <v>274</v>
      </c>
      <c r="Q24" s="33">
        <v>0.15989999999999999</v>
      </c>
      <c r="R24" s="34">
        <f t="shared" si="3"/>
        <v>1.9187999999999998</v>
      </c>
      <c r="S24" s="33">
        <v>0.1065</v>
      </c>
      <c r="T24" s="34">
        <f t="shared" si="4"/>
        <v>11.715</v>
      </c>
      <c r="U24" s="34"/>
    </row>
    <row r="25" spans="1:21" ht="25.5" x14ac:dyDescent="0.25">
      <c r="A25" s="1"/>
      <c r="B25" s="56">
        <f t="shared" si="0"/>
        <v>16</v>
      </c>
      <c r="C25" s="45" t="s">
        <v>24</v>
      </c>
      <c r="D25" s="45" t="s">
        <v>69</v>
      </c>
      <c r="E25" s="45" t="s">
        <v>242</v>
      </c>
      <c r="F25" s="61" t="s">
        <v>110</v>
      </c>
      <c r="G25" s="67" t="s">
        <v>212</v>
      </c>
      <c r="H25" s="61" t="s">
        <v>160</v>
      </c>
      <c r="I25" s="45" t="s">
        <v>243</v>
      </c>
      <c r="J25" s="84" t="s">
        <v>212</v>
      </c>
      <c r="K25" s="87">
        <v>1</v>
      </c>
      <c r="L25" s="32">
        <f t="shared" si="1"/>
        <v>10</v>
      </c>
      <c r="M25" s="32">
        <f t="shared" si="2"/>
        <v>100</v>
      </c>
      <c r="N25" s="32">
        <v>20</v>
      </c>
      <c r="O25" s="32">
        <v>120</v>
      </c>
      <c r="P25" s="36" t="s">
        <v>274</v>
      </c>
      <c r="Q25" s="37">
        <v>4.53E-2</v>
      </c>
      <c r="R25" s="38">
        <f t="shared" si="3"/>
        <v>0.90600000000000003</v>
      </c>
      <c r="S25" s="37">
        <v>4.53E-2</v>
      </c>
      <c r="T25" s="38">
        <f t="shared" si="4"/>
        <v>5.4359999999999999</v>
      </c>
      <c r="U25" s="38"/>
    </row>
    <row r="26" spans="1:21" x14ac:dyDescent="0.25">
      <c r="A26" s="1"/>
      <c r="B26" s="56">
        <f>ROW(B26) - ROW($B$9)</f>
        <v>17</v>
      </c>
      <c r="C26" s="42" t="s">
        <v>25</v>
      </c>
      <c r="D26" s="42" t="s">
        <v>70</v>
      </c>
      <c r="E26" s="42" t="s">
        <v>211</v>
      </c>
      <c r="F26" s="62" t="s">
        <v>70</v>
      </c>
      <c r="G26" s="68" t="s">
        <v>209</v>
      </c>
      <c r="H26" s="83" t="s">
        <v>209</v>
      </c>
      <c r="I26" s="68" t="s">
        <v>209</v>
      </c>
      <c r="J26" s="83" t="s">
        <v>210</v>
      </c>
      <c r="K26" s="88">
        <v>7</v>
      </c>
      <c r="L26" s="31">
        <f t="shared" si="1"/>
        <v>70</v>
      </c>
      <c r="M26" s="31">
        <f t="shared" si="2"/>
        <v>700</v>
      </c>
      <c r="N26" s="103" t="s">
        <v>209</v>
      </c>
      <c r="O26" s="103" t="s">
        <v>209</v>
      </c>
      <c r="P26" s="103" t="s">
        <v>209</v>
      </c>
      <c r="Q26" s="103" t="s">
        <v>209</v>
      </c>
      <c r="R26" s="103" t="s">
        <v>209</v>
      </c>
      <c r="S26" s="103" t="s">
        <v>209</v>
      </c>
      <c r="T26" s="103" t="s">
        <v>209</v>
      </c>
      <c r="U26" s="34"/>
    </row>
    <row r="27" spans="1:21" ht="25.5" x14ac:dyDescent="0.25">
      <c r="A27" s="1"/>
      <c r="B27" s="56">
        <f t="shared" si="0"/>
        <v>18</v>
      </c>
      <c r="C27" s="45" t="s">
        <v>26</v>
      </c>
      <c r="D27" s="45" t="s">
        <v>71</v>
      </c>
      <c r="E27" s="45" t="s">
        <v>211</v>
      </c>
      <c r="F27" s="63">
        <v>1729225</v>
      </c>
      <c r="G27" s="45" t="s">
        <v>285</v>
      </c>
      <c r="H27" s="61" t="s">
        <v>161</v>
      </c>
      <c r="I27" s="45" t="s">
        <v>286</v>
      </c>
      <c r="J27" s="84" t="s">
        <v>212</v>
      </c>
      <c r="K27" s="87">
        <v>1</v>
      </c>
      <c r="L27" s="32">
        <f t="shared" si="1"/>
        <v>10</v>
      </c>
      <c r="M27" s="32">
        <f t="shared" si="2"/>
        <v>100</v>
      </c>
      <c r="N27" s="32">
        <v>12</v>
      </c>
      <c r="O27" s="32">
        <v>105</v>
      </c>
      <c r="P27" s="36" t="s">
        <v>274</v>
      </c>
      <c r="Q27" s="37">
        <v>0.64739999999999998</v>
      </c>
      <c r="R27" s="38">
        <f t="shared" si="3"/>
        <v>7.7687999999999997</v>
      </c>
      <c r="S27" s="37">
        <v>0.53559999999999997</v>
      </c>
      <c r="T27" s="38">
        <f t="shared" si="4"/>
        <v>56.238</v>
      </c>
      <c r="U27" s="38"/>
    </row>
    <row r="28" spans="1:21" ht="38.25" x14ac:dyDescent="0.25">
      <c r="A28" s="1"/>
      <c r="B28" s="56">
        <f>ROW(B28) - ROW($B$9)</f>
        <v>19</v>
      </c>
      <c r="C28" s="42" t="s">
        <v>27</v>
      </c>
      <c r="D28" s="42" t="s">
        <v>72</v>
      </c>
      <c r="E28" s="42" t="s">
        <v>211</v>
      </c>
      <c r="F28" s="62" t="s">
        <v>111</v>
      </c>
      <c r="G28" s="68" t="s">
        <v>209</v>
      </c>
      <c r="H28" s="62" t="s">
        <v>162</v>
      </c>
      <c r="I28" s="42" t="s">
        <v>244</v>
      </c>
      <c r="J28" s="83" t="s">
        <v>245</v>
      </c>
      <c r="K28" s="88">
        <v>1</v>
      </c>
      <c r="L28" s="31">
        <f t="shared" si="1"/>
        <v>10</v>
      </c>
      <c r="M28" s="31">
        <f t="shared" si="2"/>
        <v>100</v>
      </c>
      <c r="N28" s="31">
        <v>12</v>
      </c>
      <c r="O28" s="31">
        <v>110</v>
      </c>
      <c r="P28" s="35" t="s">
        <v>274</v>
      </c>
      <c r="Q28" s="33">
        <v>0.1855</v>
      </c>
      <c r="R28" s="34">
        <f t="shared" si="3"/>
        <v>2.226</v>
      </c>
      <c r="S28" s="33">
        <v>0.13389999999999999</v>
      </c>
      <c r="T28" s="34">
        <f t="shared" si="4"/>
        <v>14.728999999999999</v>
      </c>
      <c r="U28" s="34"/>
    </row>
    <row r="29" spans="1:21" ht="51" x14ac:dyDescent="0.25">
      <c r="A29" s="1"/>
      <c r="B29" s="56">
        <f t="shared" si="0"/>
        <v>20</v>
      </c>
      <c r="C29" s="45" t="s">
        <v>28</v>
      </c>
      <c r="D29" s="45" t="s">
        <v>73</v>
      </c>
      <c r="E29" s="45" t="s">
        <v>275</v>
      </c>
      <c r="F29" s="61" t="s">
        <v>137</v>
      </c>
      <c r="G29" s="67" t="s">
        <v>209</v>
      </c>
      <c r="H29" s="61" t="s">
        <v>163</v>
      </c>
      <c r="I29" s="45" t="s">
        <v>246</v>
      </c>
      <c r="J29" s="84" t="s">
        <v>209</v>
      </c>
      <c r="K29" s="87">
        <v>22</v>
      </c>
      <c r="L29" s="32">
        <f t="shared" si="1"/>
        <v>220</v>
      </c>
      <c r="M29" s="32">
        <f t="shared" si="2"/>
        <v>2200</v>
      </c>
      <c r="N29" s="32">
        <v>240</v>
      </c>
      <c r="O29" s="32">
        <v>2260</v>
      </c>
      <c r="P29" s="36" t="s">
        <v>274</v>
      </c>
      <c r="Q29" s="37">
        <v>1.55E-2</v>
      </c>
      <c r="R29" s="38">
        <f t="shared" si="3"/>
        <v>3.7199999999999998</v>
      </c>
      <c r="S29" s="37">
        <v>1.18E-2</v>
      </c>
      <c r="T29" s="38">
        <f t="shared" si="4"/>
        <v>26.667999999999999</v>
      </c>
      <c r="U29" s="38"/>
    </row>
    <row r="30" spans="1:21" ht="25.5" x14ac:dyDescent="0.25">
      <c r="A30" s="1"/>
      <c r="B30" s="56">
        <f>ROW(B30) - ROW($B$9)</f>
        <v>21</v>
      </c>
      <c r="C30" s="42" t="s">
        <v>29</v>
      </c>
      <c r="D30" s="42" t="s">
        <v>74</v>
      </c>
      <c r="E30" s="42" t="s">
        <v>211</v>
      </c>
      <c r="F30" s="62" t="s">
        <v>112</v>
      </c>
      <c r="G30" s="68" t="s">
        <v>210</v>
      </c>
      <c r="H30" s="62" t="s">
        <v>164</v>
      </c>
      <c r="I30" s="42"/>
      <c r="J30" s="62" t="s">
        <v>213</v>
      </c>
      <c r="K30" s="88">
        <v>1</v>
      </c>
      <c r="L30" s="31">
        <f t="shared" si="1"/>
        <v>10</v>
      </c>
      <c r="M30" s="31">
        <f t="shared" si="2"/>
        <v>100</v>
      </c>
      <c r="N30" s="31">
        <v>20</v>
      </c>
      <c r="O30" s="31">
        <v>110</v>
      </c>
      <c r="P30" s="35" t="s">
        <v>272</v>
      </c>
      <c r="Q30" s="33">
        <v>0.38900000000000001</v>
      </c>
      <c r="R30" s="34">
        <f t="shared" si="3"/>
        <v>7.78</v>
      </c>
      <c r="S30" s="33">
        <v>0.38900000000000001</v>
      </c>
      <c r="T30" s="34">
        <f t="shared" si="4"/>
        <v>42.79</v>
      </c>
      <c r="U30" s="34"/>
    </row>
    <row r="31" spans="1:21" ht="25.5" x14ac:dyDescent="0.25">
      <c r="A31" s="1"/>
      <c r="B31" s="56">
        <f t="shared" si="0"/>
        <v>22</v>
      </c>
      <c r="C31" s="45" t="s">
        <v>30</v>
      </c>
      <c r="D31" s="45" t="s">
        <v>75</v>
      </c>
      <c r="E31" s="45" t="s">
        <v>211</v>
      </c>
      <c r="F31" s="61">
        <v>22232111</v>
      </c>
      <c r="G31" s="45"/>
      <c r="H31" s="61" t="s">
        <v>165</v>
      </c>
      <c r="I31" s="45"/>
      <c r="J31" s="61"/>
      <c r="K31" s="87">
        <v>2</v>
      </c>
      <c r="L31" s="32">
        <f t="shared" si="1"/>
        <v>20</v>
      </c>
      <c r="M31" s="32">
        <f t="shared" si="2"/>
        <v>200</v>
      </c>
      <c r="N31" s="32">
        <v>22</v>
      </c>
      <c r="O31" s="32">
        <v>205</v>
      </c>
      <c r="P31" s="32" t="s">
        <v>295</v>
      </c>
      <c r="Q31" s="37">
        <v>0.83</v>
      </c>
      <c r="R31" s="38">
        <f t="shared" si="3"/>
        <v>18.259999999999998</v>
      </c>
      <c r="S31" s="37">
        <v>0.83</v>
      </c>
      <c r="T31" s="38">
        <f t="shared" si="4"/>
        <v>170.15</v>
      </c>
      <c r="U31" s="100"/>
    </row>
    <row r="32" spans="1:21" ht="25.5" x14ac:dyDescent="0.25">
      <c r="A32" s="1"/>
      <c r="B32" s="56">
        <f>ROW(B32) - ROW($B$9)</f>
        <v>23</v>
      </c>
      <c r="C32" s="42" t="s">
        <v>31</v>
      </c>
      <c r="D32" s="42" t="s">
        <v>76</v>
      </c>
      <c r="E32" s="42" t="s">
        <v>113</v>
      </c>
      <c r="F32" s="62" t="s">
        <v>190</v>
      </c>
      <c r="G32" s="68" t="s">
        <v>210</v>
      </c>
      <c r="H32" s="62" t="s">
        <v>166</v>
      </c>
      <c r="I32" s="68" t="s">
        <v>209</v>
      </c>
      <c r="J32" s="83" t="s">
        <v>209</v>
      </c>
      <c r="K32" s="88">
        <v>1</v>
      </c>
      <c r="L32" s="31">
        <f t="shared" si="1"/>
        <v>10</v>
      </c>
      <c r="M32" s="31">
        <f t="shared" si="2"/>
        <v>100</v>
      </c>
      <c r="N32" s="31">
        <v>275</v>
      </c>
      <c r="O32" s="31">
        <v>275</v>
      </c>
      <c r="P32" s="35" t="s">
        <v>276</v>
      </c>
      <c r="Q32" s="33">
        <v>0.184</v>
      </c>
      <c r="R32" s="34">
        <f t="shared" si="3"/>
        <v>50.6</v>
      </c>
      <c r="S32" s="33">
        <v>0.184</v>
      </c>
      <c r="T32" s="34">
        <f t="shared" si="4"/>
        <v>50.6</v>
      </c>
      <c r="U32" s="34"/>
    </row>
    <row r="33" spans="1:21" ht="38.25" x14ac:dyDescent="0.25">
      <c r="A33" s="1"/>
      <c r="B33" s="56">
        <f>ROW(B33) - ROW($B$9)</f>
        <v>24</v>
      </c>
      <c r="C33" s="42" t="s">
        <v>32</v>
      </c>
      <c r="D33" s="42" t="s">
        <v>77</v>
      </c>
      <c r="E33" s="42" t="s">
        <v>115</v>
      </c>
      <c r="F33" s="62" t="s">
        <v>138</v>
      </c>
      <c r="G33" s="68" t="s">
        <v>209</v>
      </c>
      <c r="H33" s="62" t="s">
        <v>168</v>
      </c>
      <c r="I33" s="68" t="s">
        <v>212</v>
      </c>
      <c r="J33" s="83" t="s">
        <v>210</v>
      </c>
      <c r="K33" s="88">
        <v>20</v>
      </c>
      <c r="L33" s="31">
        <f t="shared" si="1"/>
        <v>200</v>
      </c>
      <c r="M33" s="31">
        <f t="shared" si="2"/>
        <v>2000</v>
      </c>
      <c r="N33" s="31">
        <v>500</v>
      </c>
      <c r="O33" s="31">
        <v>2000</v>
      </c>
      <c r="P33" s="35" t="s">
        <v>272</v>
      </c>
      <c r="Q33" s="33">
        <v>3.9800000000000002E-2</v>
      </c>
      <c r="R33" s="34">
        <f t="shared" si="3"/>
        <v>19.900000000000002</v>
      </c>
      <c r="S33" s="33">
        <v>3.9800000000000002E-2</v>
      </c>
      <c r="T33" s="34">
        <f t="shared" si="4"/>
        <v>79.600000000000009</v>
      </c>
      <c r="U33" s="34"/>
    </row>
    <row r="34" spans="1:21" ht="76.5" x14ac:dyDescent="0.25">
      <c r="A34" s="1"/>
      <c r="B34" s="56">
        <f t="shared" si="0"/>
        <v>25</v>
      </c>
      <c r="C34" s="43" t="s">
        <v>214</v>
      </c>
      <c r="D34" s="43" t="s">
        <v>78</v>
      </c>
      <c r="E34" s="43" t="s">
        <v>115</v>
      </c>
      <c r="F34" s="59" t="s">
        <v>114</v>
      </c>
      <c r="G34" s="66" t="s">
        <v>210</v>
      </c>
      <c r="H34" s="59" t="s">
        <v>167</v>
      </c>
      <c r="I34" s="43" t="s">
        <v>247</v>
      </c>
      <c r="J34" s="85" t="s">
        <v>209</v>
      </c>
      <c r="K34" s="87">
        <v>45</v>
      </c>
      <c r="L34" s="32">
        <f t="shared" si="1"/>
        <v>450</v>
      </c>
      <c r="M34" s="32">
        <f t="shared" si="2"/>
        <v>4500</v>
      </c>
      <c r="N34" s="32">
        <v>500</v>
      </c>
      <c r="O34" s="32">
        <v>4600</v>
      </c>
      <c r="P34" s="36" t="s">
        <v>272</v>
      </c>
      <c r="Q34" s="37">
        <v>7.4999999999999997E-3</v>
      </c>
      <c r="R34" s="38">
        <f t="shared" si="3"/>
        <v>3.75</v>
      </c>
      <c r="S34" s="37">
        <v>7.4999999999999997E-3</v>
      </c>
      <c r="T34" s="38">
        <f t="shared" si="4"/>
        <v>34.5</v>
      </c>
      <c r="U34" s="38"/>
    </row>
    <row r="35" spans="1:21" ht="76.5" x14ac:dyDescent="0.25">
      <c r="A35" s="1"/>
      <c r="B35" s="56">
        <f>ROW(B35) - ROW($B$9)</f>
        <v>26</v>
      </c>
      <c r="C35" s="44" t="s">
        <v>297</v>
      </c>
      <c r="D35" s="44" t="s">
        <v>79</v>
      </c>
      <c r="E35" s="44" t="s">
        <v>116</v>
      </c>
      <c r="F35" s="64" t="s">
        <v>139</v>
      </c>
      <c r="G35" s="69" t="s">
        <v>212</v>
      </c>
      <c r="H35" s="64" t="s">
        <v>169</v>
      </c>
      <c r="I35" s="44" t="s">
        <v>248</v>
      </c>
      <c r="J35" s="64" t="s">
        <v>191</v>
      </c>
      <c r="K35" s="88">
        <v>46</v>
      </c>
      <c r="L35" s="31">
        <f t="shared" si="1"/>
        <v>460</v>
      </c>
      <c r="M35" s="31">
        <f t="shared" si="2"/>
        <v>4600</v>
      </c>
      <c r="N35" s="31">
        <v>500</v>
      </c>
      <c r="O35" s="31">
        <v>4700</v>
      </c>
      <c r="P35" s="35" t="s">
        <v>274</v>
      </c>
      <c r="Q35" s="33">
        <v>5.9999999999999995E-4</v>
      </c>
      <c r="R35" s="34">
        <f t="shared" si="3"/>
        <v>0.3</v>
      </c>
      <c r="S35" s="33">
        <v>4.0000000000000002E-4</v>
      </c>
      <c r="T35" s="34">
        <f t="shared" si="4"/>
        <v>1.8800000000000001</v>
      </c>
      <c r="U35" s="34"/>
    </row>
    <row r="36" spans="1:21" x14ac:dyDescent="0.25">
      <c r="A36" s="1"/>
      <c r="B36" s="56">
        <v>27</v>
      </c>
      <c r="C36" s="44" t="s">
        <v>296</v>
      </c>
      <c r="D36" s="44" t="s">
        <v>298</v>
      </c>
      <c r="E36" s="44" t="s">
        <v>116</v>
      </c>
      <c r="F36" s="60" t="s">
        <v>299</v>
      </c>
      <c r="G36" s="69" t="s">
        <v>300</v>
      </c>
      <c r="H36" s="64" t="s">
        <v>156</v>
      </c>
      <c r="I36" s="44" t="s">
        <v>301</v>
      </c>
      <c r="J36" s="64" t="s">
        <v>191</v>
      </c>
      <c r="K36" s="88">
        <v>6</v>
      </c>
      <c r="L36" s="31">
        <f t="shared" si="1"/>
        <v>60</v>
      </c>
      <c r="M36" s="31">
        <f t="shared" si="2"/>
        <v>600</v>
      </c>
      <c r="N36" s="31">
        <v>100</v>
      </c>
      <c r="O36" s="31">
        <v>700</v>
      </c>
      <c r="P36" s="35" t="s">
        <v>274</v>
      </c>
      <c r="Q36" s="33">
        <v>4.3E-3</v>
      </c>
      <c r="R36" s="34">
        <f t="shared" si="3"/>
        <v>0.43</v>
      </c>
      <c r="S36" s="33">
        <v>4.3E-3</v>
      </c>
      <c r="T36" s="34">
        <f t="shared" si="4"/>
        <v>3.01</v>
      </c>
      <c r="U36" s="34"/>
    </row>
    <row r="37" spans="1:21" ht="25.5" x14ac:dyDescent="0.25">
      <c r="A37" s="1"/>
      <c r="B37" s="56">
        <f t="shared" si="0"/>
        <v>28</v>
      </c>
      <c r="C37" s="45" t="s">
        <v>33</v>
      </c>
      <c r="D37" s="45" t="s">
        <v>80</v>
      </c>
      <c r="E37" s="45" t="s">
        <v>116</v>
      </c>
      <c r="F37" s="61" t="s">
        <v>140</v>
      </c>
      <c r="G37" s="67" t="s">
        <v>210</v>
      </c>
      <c r="H37" s="61" t="s">
        <v>154</v>
      </c>
      <c r="I37" s="45" t="s">
        <v>249</v>
      </c>
      <c r="J37" s="61" t="s">
        <v>192</v>
      </c>
      <c r="K37" s="87">
        <v>1</v>
      </c>
      <c r="L37" s="32">
        <f t="shared" si="1"/>
        <v>10</v>
      </c>
      <c r="M37" s="32">
        <f t="shared" si="2"/>
        <v>100</v>
      </c>
      <c r="N37" s="32">
        <v>100</v>
      </c>
      <c r="O37" s="32">
        <v>200</v>
      </c>
      <c r="P37" s="36" t="s">
        <v>274</v>
      </c>
      <c r="Q37" s="37">
        <v>6.9999999999999999E-4</v>
      </c>
      <c r="R37" s="38">
        <f t="shared" si="3"/>
        <v>6.9999999999999993E-2</v>
      </c>
      <c r="S37" s="37">
        <v>6.9999999999999999E-4</v>
      </c>
      <c r="T37" s="38">
        <f t="shared" si="4"/>
        <v>0.13999999999999999</v>
      </c>
      <c r="U37" s="38"/>
    </row>
    <row r="38" spans="1:21" ht="25.5" x14ac:dyDescent="0.25">
      <c r="A38" s="1"/>
      <c r="B38" s="56">
        <f t="shared" si="0"/>
        <v>29</v>
      </c>
      <c r="C38" s="43" t="s">
        <v>34</v>
      </c>
      <c r="D38" s="43" t="s">
        <v>82</v>
      </c>
      <c r="E38" s="43" t="s">
        <v>117</v>
      </c>
      <c r="F38" s="59" t="s">
        <v>141</v>
      </c>
      <c r="G38" s="66" t="s">
        <v>212</v>
      </c>
      <c r="H38" s="59" t="s">
        <v>154</v>
      </c>
      <c r="I38" s="43" t="s">
        <v>250</v>
      </c>
      <c r="J38" s="59" t="s">
        <v>194</v>
      </c>
      <c r="K38" s="87">
        <v>5</v>
      </c>
      <c r="L38" s="32">
        <f t="shared" si="1"/>
        <v>50</v>
      </c>
      <c r="M38" s="32">
        <f t="shared" si="2"/>
        <v>500</v>
      </c>
      <c r="N38" s="32">
        <v>100</v>
      </c>
      <c r="O38" s="32">
        <v>600</v>
      </c>
      <c r="P38" s="36" t="s">
        <v>274</v>
      </c>
      <c r="Q38" s="37">
        <v>1.1999999999999999E-3</v>
      </c>
      <c r="R38" s="38">
        <f t="shared" si="3"/>
        <v>0.12</v>
      </c>
      <c r="S38" s="37">
        <v>1.1999999999999999E-3</v>
      </c>
      <c r="T38" s="38">
        <f t="shared" si="4"/>
        <v>0.72</v>
      </c>
      <c r="U38" s="38"/>
    </row>
    <row r="39" spans="1:21" ht="25.5" x14ac:dyDescent="0.25">
      <c r="A39" s="1"/>
      <c r="B39" s="56">
        <f>ROW(B39) - ROW($B$9)</f>
        <v>30</v>
      </c>
      <c r="C39" s="42" t="s">
        <v>35</v>
      </c>
      <c r="D39" s="42" t="s">
        <v>83</v>
      </c>
      <c r="E39" s="42" t="s">
        <v>116</v>
      </c>
      <c r="F39" s="62" t="s">
        <v>142</v>
      </c>
      <c r="G39" s="68" t="s">
        <v>209</v>
      </c>
      <c r="H39" s="62" t="s">
        <v>154</v>
      </c>
      <c r="I39" s="42" t="s">
        <v>251</v>
      </c>
      <c r="J39" s="62" t="s">
        <v>195</v>
      </c>
      <c r="K39" s="88">
        <v>1</v>
      </c>
      <c r="L39" s="31">
        <f t="shared" si="1"/>
        <v>10</v>
      </c>
      <c r="M39" s="31">
        <f t="shared" si="2"/>
        <v>100</v>
      </c>
      <c r="N39" s="31">
        <v>100</v>
      </c>
      <c r="O39" s="31">
        <v>200</v>
      </c>
      <c r="P39" s="35" t="s">
        <v>274</v>
      </c>
      <c r="Q39" s="33">
        <v>8.0000000000000004E-4</v>
      </c>
      <c r="R39" s="34">
        <f t="shared" si="3"/>
        <v>0.08</v>
      </c>
      <c r="S39" s="33">
        <v>8.0000000000000004E-4</v>
      </c>
      <c r="T39" s="34">
        <f t="shared" si="4"/>
        <v>0.16</v>
      </c>
      <c r="U39" s="34"/>
    </row>
    <row r="40" spans="1:21" ht="25.5" x14ac:dyDescent="0.25">
      <c r="A40" s="1"/>
      <c r="B40" s="56">
        <f t="shared" si="0"/>
        <v>31</v>
      </c>
      <c r="C40" s="45" t="s">
        <v>36</v>
      </c>
      <c r="D40" s="45" t="s">
        <v>84</v>
      </c>
      <c r="E40" s="45" t="s">
        <v>116</v>
      </c>
      <c r="F40" s="61" t="s">
        <v>143</v>
      </c>
      <c r="G40" s="67" t="s">
        <v>212</v>
      </c>
      <c r="H40" s="61" t="s">
        <v>154</v>
      </c>
      <c r="I40" s="45" t="s">
        <v>252</v>
      </c>
      <c r="J40" s="61" t="s">
        <v>196</v>
      </c>
      <c r="K40" s="87">
        <v>2</v>
      </c>
      <c r="L40" s="32">
        <f t="shared" si="1"/>
        <v>20</v>
      </c>
      <c r="M40" s="32">
        <f t="shared" si="2"/>
        <v>200</v>
      </c>
      <c r="N40" s="32">
        <v>100</v>
      </c>
      <c r="O40" s="32">
        <v>300</v>
      </c>
      <c r="P40" s="36" t="s">
        <v>274</v>
      </c>
      <c r="Q40" s="37">
        <v>6.9999999999999999E-4</v>
      </c>
      <c r="R40" s="38">
        <f t="shared" si="3"/>
        <v>6.9999999999999993E-2</v>
      </c>
      <c r="S40" s="37">
        <v>6.9999999999999999E-4</v>
      </c>
      <c r="T40" s="38">
        <f t="shared" si="4"/>
        <v>0.21</v>
      </c>
      <c r="U40" s="38"/>
    </row>
    <row r="41" spans="1:21" ht="25.5" x14ac:dyDescent="0.25">
      <c r="A41" s="1"/>
      <c r="B41" s="56">
        <f>ROW(B41) - ROW($B$9)</f>
        <v>32</v>
      </c>
      <c r="C41" s="42" t="s">
        <v>37</v>
      </c>
      <c r="D41" s="42" t="s">
        <v>85</v>
      </c>
      <c r="E41" s="42" t="s">
        <v>116</v>
      </c>
      <c r="F41" s="62" t="s">
        <v>144</v>
      </c>
      <c r="G41" s="68" t="s">
        <v>209</v>
      </c>
      <c r="H41" s="62" t="s">
        <v>154</v>
      </c>
      <c r="I41" s="42" t="s">
        <v>253</v>
      </c>
      <c r="J41" s="62" t="s">
        <v>197</v>
      </c>
      <c r="K41" s="88">
        <v>1</v>
      </c>
      <c r="L41" s="31">
        <f t="shared" si="1"/>
        <v>10</v>
      </c>
      <c r="M41" s="31">
        <f t="shared" si="2"/>
        <v>100</v>
      </c>
      <c r="N41" s="31">
        <v>100</v>
      </c>
      <c r="O41" s="31">
        <v>200</v>
      </c>
      <c r="P41" s="35" t="s">
        <v>274</v>
      </c>
      <c r="Q41" s="33">
        <v>8.0000000000000004E-4</v>
      </c>
      <c r="R41" s="34">
        <f t="shared" si="3"/>
        <v>0.08</v>
      </c>
      <c r="S41" s="33">
        <v>8.0000000000000004E-4</v>
      </c>
      <c r="T41" s="34">
        <f t="shared" si="4"/>
        <v>0.16</v>
      </c>
      <c r="U41" s="34"/>
    </row>
    <row r="42" spans="1:21" ht="25.5" x14ac:dyDescent="0.25">
      <c r="A42" s="1"/>
      <c r="B42" s="56">
        <f t="shared" si="0"/>
        <v>33</v>
      </c>
      <c r="C42" s="45" t="s">
        <v>38</v>
      </c>
      <c r="D42" s="45" t="s">
        <v>86</v>
      </c>
      <c r="E42" s="45" t="s">
        <v>116</v>
      </c>
      <c r="F42" s="61" t="s">
        <v>145</v>
      </c>
      <c r="G42" s="67" t="s">
        <v>209</v>
      </c>
      <c r="H42" s="61" t="s">
        <v>154</v>
      </c>
      <c r="I42" s="45" t="s">
        <v>254</v>
      </c>
      <c r="J42" s="61" t="s">
        <v>198</v>
      </c>
      <c r="K42" s="87">
        <v>1</v>
      </c>
      <c r="L42" s="32">
        <f t="shared" si="1"/>
        <v>10</v>
      </c>
      <c r="M42" s="32">
        <f t="shared" si="2"/>
        <v>100</v>
      </c>
      <c r="N42" s="32">
        <v>100</v>
      </c>
      <c r="O42" s="32">
        <v>200</v>
      </c>
      <c r="P42" s="36" t="s">
        <v>274</v>
      </c>
      <c r="Q42" s="37">
        <v>8.0000000000000004E-4</v>
      </c>
      <c r="R42" s="38">
        <f t="shared" si="3"/>
        <v>0.08</v>
      </c>
      <c r="S42" s="37">
        <v>8.0000000000000004E-4</v>
      </c>
      <c r="T42" s="38">
        <f t="shared" si="4"/>
        <v>0.16</v>
      </c>
      <c r="U42" s="38"/>
    </row>
    <row r="43" spans="1:21" x14ac:dyDescent="0.25">
      <c r="A43" s="1"/>
      <c r="B43" s="56">
        <f>ROW(B43) - ROW($B$9)</f>
        <v>34</v>
      </c>
      <c r="C43" s="42" t="s">
        <v>39</v>
      </c>
      <c r="D43" s="42" t="s">
        <v>87</v>
      </c>
      <c r="E43" s="42" t="s">
        <v>116</v>
      </c>
      <c r="F43" s="60" t="s">
        <v>146</v>
      </c>
      <c r="G43" s="42" t="s">
        <v>277</v>
      </c>
      <c r="H43" s="62" t="s">
        <v>154</v>
      </c>
      <c r="I43" s="42" t="s">
        <v>278</v>
      </c>
      <c r="J43" s="62" t="s">
        <v>199</v>
      </c>
      <c r="K43" s="88">
        <v>5</v>
      </c>
      <c r="L43" s="31">
        <f t="shared" si="1"/>
        <v>50</v>
      </c>
      <c r="M43" s="31">
        <f t="shared" si="2"/>
        <v>500</v>
      </c>
      <c r="N43" s="31">
        <v>100</v>
      </c>
      <c r="O43" s="31">
        <v>600</v>
      </c>
      <c r="P43" s="35" t="s">
        <v>274</v>
      </c>
      <c r="Q43" s="33">
        <v>8.0000000000000004E-4</v>
      </c>
      <c r="R43" s="34">
        <f t="shared" si="3"/>
        <v>0.08</v>
      </c>
      <c r="S43" s="33">
        <v>8.0000000000000004E-4</v>
      </c>
      <c r="T43" s="34">
        <f t="shared" si="4"/>
        <v>0.48000000000000004</v>
      </c>
      <c r="U43" s="34"/>
    </row>
    <row r="44" spans="1:21" ht="25.5" x14ac:dyDescent="0.25">
      <c r="A44" s="1"/>
      <c r="B44" s="56">
        <f>ROW(B44) - ROW($B$9)</f>
        <v>35</v>
      </c>
      <c r="C44" s="42" t="s">
        <v>40</v>
      </c>
      <c r="D44" s="42" t="s">
        <v>88</v>
      </c>
      <c r="E44" s="42" t="s">
        <v>116</v>
      </c>
      <c r="F44" s="60" t="s">
        <v>216</v>
      </c>
      <c r="G44" s="42" t="s">
        <v>279</v>
      </c>
      <c r="H44" s="62" t="s">
        <v>154</v>
      </c>
      <c r="I44" s="42" t="s">
        <v>280</v>
      </c>
      <c r="J44" s="62" t="s">
        <v>200</v>
      </c>
      <c r="K44" s="88">
        <v>2</v>
      </c>
      <c r="L44" s="31">
        <f t="shared" si="1"/>
        <v>20</v>
      </c>
      <c r="M44" s="31">
        <f t="shared" si="2"/>
        <v>200</v>
      </c>
      <c r="N44" s="31">
        <v>100</v>
      </c>
      <c r="O44" s="31">
        <v>300</v>
      </c>
      <c r="P44" s="35" t="s">
        <v>274</v>
      </c>
      <c r="Q44" s="33">
        <v>5.9999999999999995E-4</v>
      </c>
      <c r="R44" s="34">
        <f t="shared" si="3"/>
        <v>0.06</v>
      </c>
      <c r="S44" s="33">
        <v>5.9999999999999995E-4</v>
      </c>
      <c r="T44" s="34">
        <f t="shared" si="4"/>
        <v>0.18</v>
      </c>
      <c r="U44" s="34"/>
    </row>
    <row r="45" spans="1:21" ht="25.5" x14ac:dyDescent="0.25">
      <c r="A45" s="1"/>
      <c r="B45" s="56">
        <f t="shared" si="0"/>
        <v>36</v>
      </c>
      <c r="C45" s="45" t="s">
        <v>41</v>
      </c>
      <c r="D45" s="45" t="s">
        <v>89</v>
      </c>
      <c r="E45" s="45" t="s">
        <v>116</v>
      </c>
      <c r="F45" s="61" t="s">
        <v>217</v>
      </c>
      <c r="G45" s="67" t="s">
        <v>210</v>
      </c>
      <c r="H45" s="61" t="s">
        <v>154</v>
      </c>
      <c r="I45" s="45" t="s">
        <v>255</v>
      </c>
      <c r="J45" s="61" t="s">
        <v>201</v>
      </c>
      <c r="K45" s="87">
        <v>4</v>
      </c>
      <c r="L45" s="32">
        <f t="shared" si="1"/>
        <v>40</v>
      </c>
      <c r="M45" s="32">
        <f t="shared" si="2"/>
        <v>400</v>
      </c>
      <c r="N45" s="32">
        <v>100</v>
      </c>
      <c r="O45" s="32">
        <v>500</v>
      </c>
      <c r="P45" s="32"/>
      <c r="Q45" s="37">
        <v>8.0000000000000004E-4</v>
      </c>
      <c r="R45" s="38">
        <f t="shared" si="3"/>
        <v>0.08</v>
      </c>
      <c r="S45" s="37">
        <v>8.0000000000000004E-4</v>
      </c>
      <c r="T45" s="38">
        <f t="shared" si="4"/>
        <v>0.4</v>
      </c>
      <c r="U45" s="38"/>
    </row>
    <row r="46" spans="1:21" ht="38.25" x14ac:dyDescent="0.25">
      <c r="A46" s="1"/>
      <c r="B46" s="56">
        <f>ROW(B46) - ROW($B$9)</f>
        <v>37</v>
      </c>
      <c r="C46" s="44" t="s">
        <v>42</v>
      </c>
      <c r="D46" s="44" t="s">
        <v>90</v>
      </c>
      <c r="E46" s="44" t="s">
        <v>116</v>
      </c>
      <c r="F46" s="64" t="s">
        <v>147</v>
      </c>
      <c r="G46" s="69" t="s">
        <v>209</v>
      </c>
      <c r="H46" s="64" t="s">
        <v>154</v>
      </c>
      <c r="I46" s="44" t="s">
        <v>256</v>
      </c>
      <c r="J46" s="64" t="s">
        <v>202</v>
      </c>
      <c r="K46" s="88">
        <v>20</v>
      </c>
      <c r="L46" s="31">
        <f t="shared" si="1"/>
        <v>200</v>
      </c>
      <c r="M46" s="31">
        <f t="shared" si="2"/>
        <v>2000</v>
      </c>
      <c r="N46" s="31">
        <v>300</v>
      </c>
      <c r="O46" s="31">
        <v>2100</v>
      </c>
      <c r="P46" s="35" t="s">
        <v>274</v>
      </c>
      <c r="Q46" s="33">
        <v>8.9999999999999998E-4</v>
      </c>
      <c r="R46" s="34">
        <f t="shared" si="3"/>
        <v>0.27</v>
      </c>
      <c r="S46" s="33">
        <v>6.9999999999999999E-4</v>
      </c>
      <c r="T46" s="34">
        <f t="shared" si="4"/>
        <v>1.47</v>
      </c>
      <c r="U46" s="34"/>
    </row>
    <row r="47" spans="1:21" ht="25.5" x14ac:dyDescent="0.25">
      <c r="A47" s="1"/>
      <c r="B47" s="56">
        <f t="shared" si="0"/>
        <v>38</v>
      </c>
      <c r="C47" s="45" t="s">
        <v>43</v>
      </c>
      <c r="D47" s="45" t="s">
        <v>91</v>
      </c>
      <c r="E47" s="45" t="s">
        <v>116</v>
      </c>
      <c r="F47" s="61" t="s">
        <v>148</v>
      </c>
      <c r="G47" s="67" t="s">
        <v>209</v>
      </c>
      <c r="H47" s="61" t="s">
        <v>154</v>
      </c>
      <c r="I47" s="45" t="s">
        <v>257</v>
      </c>
      <c r="J47" s="61" t="s">
        <v>203</v>
      </c>
      <c r="K47" s="87">
        <v>1</v>
      </c>
      <c r="L47" s="32">
        <f t="shared" si="1"/>
        <v>10</v>
      </c>
      <c r="M47" s="32">
        <f t="shared" si="2"/>
        <v>100</v>
      </c>
      <c r="N47" s="32">
        <v>100</v>
      </c>
      <c r="O47" s="32">
        <v>200</v>
      </c>
      <c r="P47" s="36" t="s">
        <v>274</v>
      </c>
      <c r="Q47" s="37">
        <v>1.2999999999999999E-3</v>
      </c>
      <c r="R47" s="38">
        <f t="shared" si="3"/>
        <v>0.13</v>
      </c>
      <c r="S47" s="37">
        <v>1.2999999999999999E-3</v>
      </c>
      <c r="T47" s="38">
        <f t="shared" si="4"/>
        <v>0.26</v>
      </c>
      <c r="U47" s="38"/>
    </row>
    <row r="48" spans="1:21" ht="25.5" x14ac:dyDescent="0.25">
      <c r="A48" s="1"/>
      <c r="B48" s="56">
        <f>ROW(B48) - ROW($B$9)</f>
        <v>39</v>
      </c>
      <c r="C48" s="42" t="s">
        <v>44</v>
      </c>
      <c r="D48" s="42" t="s">
        <v>92</v>
      </c>
      <c r="E48" s="42" t="s">
        <v>116</v>
      </c>
      <c r="F48" s="62" t="s">
        <v>149</v>
      </c>
      <c r="G48" s="68" t="s">
        <v>210</v>
      </c>
      <c r="H48" s="62" t="s">
        <v>154</v>
      </c>
      <c r="I48" s="42" t="s">
        <v>258</v>
      </c>
      <c r="J48" s="62" t="s">
        <v>204</v>
      </c>
      <c r="K48" s="88">
        <v>4</v>
      </c>
      <c r="L48" s="31">
        <f t="shared" si="1"/>
        <v>40</v>
      </c>
      <c r="M48" s="31">
        <f t="shared" si="2"/>
        <v>400</v>
      </c>
      <c r="N48" s="31">
        <v>100</v>
      </c>
      <c r="O48" s="31">
        <v>500</v>
      </c>
      <c r="P48" s="35" t="s">
        <v>274</v>
      </c>
      <c r="Q48" s="33">
        <v>2.3999999999999998E-3</v>
      </c>
      <c r="R48" s="34">
        <f t="shared" si="3"/>
        <v>0.24</v>
      </c>
      <c r="S48" s="33">
        <v>2.3999999999999998E-3</v>
      </c>
      <c r="T48" s="34">
        <f t="shared" si="4"/>
        <v>1.2</v>
      </c>
      <c r="U48" s="34"/>
    </row>
    <row r="49" spans="1:21" ht="38.25" x14ac:dyDescent="0.25">
      <c r="A49" s="1"/>
      <c r="B49" s="56">
        <f t="shared" si="0"/>
        <v>40</v>
      </c>
      <c r="C49" s="43" t="s">
        <v>215</v>
      </c>
      <c r="D49" s="43" t="s">
        <v>81</v>
      </c>
      <c r="E49" s="43" t="s">
        <v>116</v>
      </c>
      <c r="F49" s="63" t="s">
        <v>150</v>
      </c>
      <c r="G49" s="43" t="s">
        <v>281</v>
      </c>
      <c r="H49" s="59" t="s">
        <v>154</v>
      </c>
      <c r="I49" s="43" t="s">
        <v>282</v>
      </c>
      <c r="J49" s="59" t="s">
        <v>193</v>
      </c>
      <c r="K49" s="87">
        <v>22</v>
      </c>
      <c r="L49" s="32">
        <f t="shared" si="1"/>
        <v>220</v>
      </c>
      <c r="M49" s="32">
        <f t="shared" si="2"/>
        <v>2200</v>
      </c>
      <c r="N49" s="32">
        <v>300</v>
      </c>
      <c r="O49" s="32">
        <v>2300</v>
      </c>
      <c r="P49" s="36" t="s">
        <v>274</v>
      </c>
      <c r="Q49" s="37">
        <v>8.0000000000000004E-4</v>
      </c>
      <c r="R49" s="38">
        <f t="shared" si="3"/>
        <v>0.24000000000000002</v>
      </c>
      <c r="S49" s="37">
        <v>5.9999999999999995E-4</v>
      </c>
      <c r="T49" s="38">
        <f t="shared" si="4"/>
        <v>1.38</v>
      </c>
      <c r="U49" s="38"/>
    </row>
    <row r="50" spans="1:21" ht="25.5" x14ac:dyDescent="0.25">
      <c r="A50" s="1"/>
      <c r="B50" s="56">
        <f>ROW(B50) - ROW($B$9)</f>
        <v>41</v>
      </c>
      <c r="C50" s="42" t="s">
        <v>45</v>
      </c>
      <c r="D50" s="42" t="s">
        <v>93</v>
      </c>
      <c r="E50" s="42" t="s">
        <v>211</v>
      </c>
      <c r="F50" s="62" t="s">
        <v>118</v>
      </c>
      <c r="G50" s="68" t="s">
        <v>210</v>
      </c>
      <c r="H50" s="62" t="s">
        <v>170</v>
      </c>
      <c r="I50" s="42" t="s">
        <v>259</v>
      </c>
      <c r="J50" s="83" t="s">
        <v>210</v>
      </c>
      <c r="K50" s="88">
        <v>1</v>
      </c>
      <c r="L50" s="31">
        <f t="shared" si="1"/>
        <v>10</v>
      </c>
      <c r="M50" s="31">
        <f t="shared" si="2"/>
        <v>100</v>
      </c>
      <c r="N50" s="31">
        <v>12</v>
      </c>
      <c r="O50" s="31">
        <v>110</v>
      </c>
      <c r="P50" s="35" t="s">
        <v>274</v>
      </c>
      <c r="Q50" s="33">
        <v>0.86199999999999999</v>
      </c>
      <c r="R50" s="34">
        <f t="shared" si="3"/>
        <v>10.343999999999999</v>
      </c>
      <c r="S50" s="33">
        <v>0.74480000000000002</v>
      </c>
      <c r="T50" s="34">
        <f t="shared" si="4"/>
        <v>81.927999999999997</v>
      </c>
      <c r="U50" s="34"/>
    </row>
    <row r="51" spans="1:21" ht="38.25" x14ac:dyDescent="0.25">
      <c r="A51" s="1"/>
      <c r="B51" s="56">
        <f t="shared" si="0"/>
        <v>42</v>
      </c>
      <c r="C51" s="45" t="s">
        <v>46</v>
      </c>
      <c r="D51" s="45" t="s">
        <v>94</v>
      </c>
      <c r="E51" s="45" t="s">
        <v>211</v>
      </c>
      <c r="F51" s="61" t="s">
        <v>119</v>
      </c>
      <c r="G51" s="67" t="s">
        <v>209</v>
      </c>
      <c r="H51" s="61" t="s">
        <v>171</v>
      </c>
      <c r="I51" s="67" t="s">
        <v>212</v>
      </c>
      <c r="J51" s="84" t="s">
        <v>210</v>
      </c>
      <c r="K51" s="87">
        <v>1</v>
      </c>
      <c r="L51" s="32">
        <f t="shared" si="1"/>
        <v>10</v>
      </c>
      <c r="M51" s="32">
        <f t="shared" si="2"/>
        <v>100</v>
      </c>
      <c r="N51" s="32">
        <v>10</v>
      </c>
      <c r="O51" s="32">
        <v>100</v>
      </c>
      <c r="P51" s="36" t="s">
        <v>272</v>
      </c>
      <c r="Q51" s="37">
        <v>0.51200000000000001</v>
      </c>
      <c r="R51" s="38">
        <f t="shared" si="3"/>
        <v>5.12</v>
      </c>
      <c r="S51" s="37">
        <v>0.51200000000000001</v>
      </c>
      <c r="T51" s="38">
        <f t="shared" si="4"/>
        <v>51.2</v>
      </c>
      <c r="U51" s="38"/>
    </row>
    <row r="52" spans="1:21" x14ac:dyDescent="0.25">
      <c r="A52" s="1"/>
      <c r="B52" s="56">
        <f>ROW(B52) - ROW($B$9)</f>
        <v>43</v>
      </c>
      <c r="C52" s="42" t="s">
        <v>47</v>
      </c>
      <c r="D52" s="42" t="s">
        <v>95</v>
      </c>
      <c r="E52" s="42" t="s">
        <v>219</v>
      </c>
      <c r="F52" s="62" t="s">
        <v>120</v>
      </c>
      <c r="G52" s="68" t="s">
        <v>209</v>
      </c>
      <c r="H52" s="62" t="s">
        <v>172</v>
      </c>
      <c r="I52" s="42" t="s">
        <v>260</v>
      </c>
      <c r="J52" s="83" t="s">
        <v>210</v>
      </c>
      <c r="K52" s="88">
        <v>2</v>
      </c>
      <c r="L52" s="31">
        <f t="shared" si="1"/>
        <v>20</v>
      </c>
      <c r="M52" s="31">
        <f t="shared" si="2"/>
        <v>200</v>
      </c>
      <c r="N52" s="31">
        <v>22</v>
      </c>
      <c r="O52" s="31">
        <v>210</v>
      </c>
      <c r="P52" s="35" t="s">
        <v>274</v>
      </c>
      <c r="Q52" s="33">
        <v>0.3427</v>
      </c>
      <c r="R52" s="34">
        <f t="shared" si="3"/>
        <v>7.5394000000000005</v>
      </c>
      <c r="S52" s="33">
        <v>0.2777</v>
      </c>
      <c r="T52" s="34">
        <f t="shared" si="4"/>
        <v>58.317</v>
      </c>
      <c r="U52" s="34"/>
    </row>
    <row r="53" spans="1:21" x14ac:dyDescent="0.25">
      <c r="A53" s="1"/>
      <c r="B53" s="56">
        <f t="shared" si="0"/>
        <v>44</v>
      </c>
      <c r="C53" s="45" t="s">
        <v>48</v>
      </c>
      <c r="D53" s="45" t="s">
        <v>96</v>
      </c>
      <c r="E53" s="45" t="s">
        <v>283</v>
      </c>
      <c r="F53" s="61" t="s">
        <v>121</v>
      </c>
      <c r="G53" s="67" t="s">
        <v>212</v>
      </c>
      <c r="H53" s="61" t="s">
        <v>173</v>
      </c>
      <c r="I53" s="45" t="s">
        <v>261</v>
      </c>
      <c r="J53" s="84" t="s">
        <v>210</v>
      </c>
      <c r="K53" s="87">
        <v>1</v>
      </c>
      <c r="L53" s="32">
        <f t="shared" si="1"/>
        <v>10</v>
      </c>
      <c r="M53" s="32">
        <f t="shared" si="2"/>
        <v>100</v>
      </c>
      <c r="N53" s="32">
        <v>12</v>
      </c>
      <c r="O53" s="32">
        <v>110</v>
      </c>
      <c r="P53" s="36" t="s">
        <v>274</v>
      </c>
      <c r="Q53" s="37">
        <v>0.4022</v>
      </c>
      <c r="R53" s="38">
        <f t="shared" si="3"/>
        <v>4.8263999999999996</v>
      </c>
      <c r="S53" s="37">
        <v>0.3427</v>
      </c>
      <c r="T53" s="38">
        <f t="shared" si="4"/>
        <v>37.697000000000003</v>
      </c>
      <c r="U53" s="38"/>
    </row>
    <row r="54" spans="1:21" ht="25.5" x14ac:dyDescent="0.25">
      <c r="A54" s="1"/>
      <c r="B54" s="56">
        <f>ROW(B54) - ROW($B$9)</f>
        <v>45</v>
      </c>
      <c r="C54" s="42" t="s">
        <v>49</v>
      </c>
      <c r="D54" s="42" t="s">
        <v>97</v>
      </c>
      <c r="E54" s="42" t="s">
        <v>218</v>
      </c>
      <c r="F54" s="62" t="s">
        <v>122</v>
      </c>
      <c r="G54" s="68" t="s">
        <v>212</v>
      </c>
      <c r="H54" s="62" t="s">
        <v>284</v>
      </c>
      <c r="I54" s="68" t="s">
        <v>212</v>
      </c>
      <c r="J54" s="83" t="s">
        <v>209</v>
      </c>
      <c r="K54" s="88">
        <v>1</v>
      </c>
      <c r="L54" s="31">
        <f t="shared" si="1"/>
        <v>10</v>
      </c>
      <c r="M54" s="31">
        <f t="shared" si="2"/>
        <v>100</v>
      </c>
      <c r="N54" s="31">
        <v>10</v>
      </c>
      <c r="O54" s="31">
        <v>105</v>
      </c>
      <c r="P54" s="35" t="s">
        <v>272</v>
      </c>
      <c r="Q54" s="33">
        <v>7.96</v>
      </c>
      <c r="R54" s="34">
        <f t="shared" si="3"/>
        <v>79.599999999999994</v>
      </c>
      <c r="S54" s="33">
        <v>7.96</v>
      </c>
      <c r="T54" s="34">
        <f t="shared" si="4"/>
        <v>835.8</v>
      </c>
      <c r="U54" s="34"/>
    </row>
    <row r="55" spans="1:21" ht="38.25" x14ac:dyDescent="0.25">
      <c r="A55" s="1"/>
      <c r="B55" s="56">
        <f t="shared" si="0"/>
        <v>46</v>
      </c>
      <c r="C55" s="45" t="s">
        <v>50</v>
      </c>
      <c r="D55" s="45" t="s">
        <v>98</v>
      </c>
      <c r="E55" s="45" t="s">
        <v>220</v>
      </c>
      <c r="F55" s="61" t="s">
        <v>123</v>
      </c>
      <c r="G55" s="67" t="s">
        <v>210</v>
      </c>
      <c r="H55" s="61" t="s">
        <v>174</v>
      </c>
      <c r="I55" s="45" t="s">
        <v>262</v>
      </c>
      <c r="J55" s="84" t="s">
        <v>212</v>
      </c>
      <c r="K55" s="87">
        <v>5</v>
      </c>
      <c r="L55" s="32">
        <f t="shared" si="1"/>
        <v>50</v>
      </c>
      <c r="M55" s="32">
        <f t="shared" si="2"/>
        <v>500</v>
      </c>
      <c r="N55" s="32">
        <v>55</v>
      </c>
      <c r="O55" s="32">
        <v>510</v>
      </c>
      <c r="P55" s="36" t="s">
        <v>274</v>
      </c>
      <c r="Q55" s="37">
        <v>0.42380000000000001</v>
      </c>
      <c r="R55" s="38">
        <f t="shared" si="3"/>
        <v>23.309000000000001</v>
      </c>
      <c r="S55" s="37">
        <v>0.36609999999999998</v>
      </c>
      <c r="T55" s="38">
        <f t="shared" si="4"/>
        <v>186.71099999999998</v>
      </c>
      <c r="U55" s="38"/>
    </row>
    <row r="56" spans="1:21" ht="25.5" x14ac:dyDescent="0.25">
      <c r="A56" s="1"/>
      <c r="B56" s="56">
        <f>ROW(B56) - ROW($B$9)</f>
        <v>47</v>
      </c>
      <c r="C56" s="42" t="s">
        <v>51</v>
      </c>
      <c r="D56" s="42" t="s">
        <v>99</v>
      </c>
      <c r="E56" s="42" t="s">
        <v>211</v>
      </c>
      <c r="F56" s="62" t="s">
        <v>151</v>
      </c>
      <c r="G56" s="68" t="s">
        <v>209</v>
      </c>
      <c r="H56" s="62" t="s">
        <v>175</v>
      </c>
      <c r="I56" s="42" t="s">
        <v>263</v>
      </c>
      <c r="J56" s="83" t="s">
        <v>209</v>
      </c>
      <c r="K56" s="88">
        <v>1</v>
      </c>
      <c r="L56" s="31">
        <f t="shared" si="1"/>
        <v>10</v>
      </c>
      <c r="M56" s="31">
        <f t="shared" si="2"/>
        <v>100</v>
      </c>
      <c r="N56" s="31">
        <v>12</v>
      </c>
      <c r="O56" s="31">
        <v>105</v>
      </c>
      <c r="P56" s="35" t="s">
        <v>274</v>
      </c>
      <c r="Q56" s="33">
        <v>0.30380000000000001</v>
      </c>
      <c r="R56" s="34">
        <f t="shared" si="3"/>
        <v>3.6456</v>
      </c>
      <c r="S56" s="33">
        <v>0.21079999999999999</v>
      </c>
      <c r="T56" s="34">
        <f t="shared" si="4"/>
        <v>22.134</v>
      </c>
      <c r="U56" s="34"/>
    </row>
    <row r="57" spans="1:21" ht="39" thickBot="1" x14ac:dyDescent="0.3">
      <c r="A57" s="1"/>
      <c r="B57" s="70">
        <f t="shared" si="0"/>
        <v>48</v>
      </c>
      <c r="C57" s="71" t="s">
        <v>52</v>
      </c>
      <c r="D57" s="71" t="s">
        <v>100</v>
      </c>
      <c r="E57" s="71" t="s">
        <v>211</v>
      </c>
      <c r="F57" s="72" t="s">
        <v>124</v>
      </c>
      <c r="G57" s="73" t="s">
        <v>209</v>
      </c>
      <c r="H57" s="72" t="s">
        <v>176</v>
      </c>
      <c r="I57" s="46" t="s">
        <v>264</v>
      </c>
      <c r="J57" s="72" t="s">
        <v>221</v>
      </c>
      <c r="K57" s="101">
        <v>1</v>
      </c>
      <c r="L57" s="74">
        <f t="shared" si="1"/>
        <v>10</v>
      </c>
      <c r="M57" s="74">
        <f t="shared" si="2"/>
        <v>100</v>
      </c>
      <c r="N57" s="74">
        <v>15</v>
      </c>
      <c r="O57" s="74">
        <v>110</v>
      </c>
      <c r="P57" s="102" t="s">
        <v>274</v>
      </c>
      <c r="Q57" s="89">
        <v>0.1221</v>
      </c>
      <c r="R57" s="90">
        <f t="shared" si="3"/>
        <v>1.8314999999999999</v>
      </c>
      <c r="S57" s="89">
        <v>0.1008</v>
      </c>
      <c r="T57" s="90">
        <f t="shared" si="4"/>
        <v>11.088000000000001</v>
      </c>
      <c r="U57" s="90"/>
    </row>
    <row r="58" spans="1:21" ht="19.5" thickBot="1" x14ac:dyDescent="0.3">
      <c r="A58" s="1"/>
      <c r="B58" s="75"/>
      <c r="C58" s="76" t="s">
        <v>5</v>
      </c>
      <c r="D58" s="77"/>
      <c r="E58" s="78"/>
      <c r="F58" s="79"/>
      <c r="G58" s="79"/>
      <c r="H58" s="78"/>
      <c r="I58" s="78"/>
      <c r="J58" s="79"/>
      <c r="K58" s="80"/>
      <c r="L58" s="80"/>
      <c r="M58" s="80"/>
      <c r="N58" s="81"/>
      <c r="O58" s="106" t="s">
        <v>288</v>
      </c>
      <c r="P58" s="107"/>
      <c r="Q58" s="107"/>
      <c r="R58" s="94">
        <f>SUM(R10:R57)</f>
        <v>285.86030000000017</v>
      </c>
      <c r="S58" s="97"/>
      <c r="T58" s="94">
        <f>SUM(T10:T57)</f>
        <v>1998.9589999999998</v>
      </c>
      <c r="U58" s="91"/>
    </row>
    <row r="59" spans="1:21" ht="19.5" thickBot="1" x14ac:dyDescent="0.3">
      <c r="A59" s="1"/>
      <c r="B59" s="24"/>
      <c r="C59" s="7" t="s">
        <v>6</v>
      </c>
      <c r="D59" s="8"/>
      <c r="E59" s="8"/>
      <c r="F59" s="8"/>
      <c r="G59" s="8"/>
      <c r="H59" s="8"/>
      <c r="I59" s="8"/>
      <c r="J59" s="8"/>
      <c r="K59" s="39"/>
      <c r="L59" s="39"/>
      <c r="M59" s="39"/>
      <c r="N59" s="82"/>
      <c r="O59" s="112" t="s">
        <v>289</v>
      </c>
      <c r="P59" s="113"/>
      <c r="Q59" s="113"/>
      <c r="R59" s="95">
        <f>R58/10</f>
        <v>28.586030000000015</v>
      </c>
      <c r="S59" s="98"/>
      <c r="T59" s="95">
        <f>T58/100</f>
        <v>19.98959</v>
      </c>
      <c r="U59" s="92"/>
    </row>
    <row r="60" spans="1:21" ht="19.5" thickBot="1" x14ac:dyDescent="0.3">
      <c r="O60" s="106" t="s">
        <v>287</v>
      </c>
      <c r="P60" s="107"/>
      <c r="Q60" s="107"/>
      <c r="R60" s="95">
        <v>15.6</v>
      </c>
      <c r="S60" s="98"/>
      <c r="T60" s="95">
        <v>84.3</v>
      </c>
      <c r="U60" s="92"/>
    </row>
    <row r="61" spans="1:21" ht="19.5" thickBot="1" x14ac:dyDescent="0.3">
      <c r="O61" s="106" t="s">
        <v>290</v>
      </c>
      <c r="P61" s="107"/>
      <c r="Q61" s="107"/>
      <c r="R61" s="96">
        <f>SUM(R59:R60)</f>
        <v>44.186030000000017</v>
      </c>
      <c r="S61" s="99"/>
      <c r="T61" s="96">
        <f>SUM(T59:T60)</f>
        <v>104.28959</v>
      </c>
      <c r="U61" s="93"/>
    </row>
  </sheetData>
  <mergeCells count="7">
    <mergeCell ref="J1:K1"/>
    <mergeCell ref="O60:Q60"/>
    <mergeCell ref="O61:Q61"/>
    <mergeCell ref="U3:U8"/>
    <mergeCell ref="T2:U2"/>
    <mergeCell ref="O58:Q58"/>
    <mergeCell ref="O59:Q59"/>
  </mergeCells>
  <hyperlinks>
    <hyperlink ref="P30" r:id="rId1"/>
    <hyperlink ref="P10" r:id="rId2"/>
    <hyperlink ref="P11" r:id="rId3"/>
    <hyperlink ref="P12" r:id="rId4"/>
    <hyperlink ref="P13" r:id="rId5"/>
    <hyperlink ref="P14" r:id="rId6"/>
    <hyperlink ref="P15" r:id="rId7"/>
    <hyperlink ref="P16" r:id="rId8"/>
    <hyperlink ref="P17" r:id="rId9"/>
    <hyperlink ref="P18" r:id="rId10"/>
    <hyperlink ref="P19" r:id="rId11"/>
    <hyperlink ref="P20" r:id="rId12"/>
    <hyperlink ref="P21" r:id="rId13"/>
    <hyperlink ref="P22" r:id="rId14"/>
    <hyperlink ref="P24" r:id="rId15"/>
    <hyperlink ref="P25" r:id="rId16"/>
    <hyperlink ref="P28" r:id="rId17"/>
    <hyperlink ref="P29" r:id="rId18"/>
    <hyperlink ref="P32" r:id="rId19"/>
    <hyperlink ref="P33" r:id="rId20"/>
    <hyperlink ref="P34" r:id="rId21"/>
    <hyperlink ref="P35" r:id="rId22"/>
    <hyperlink ref="P37" r:id="rId23"/>
    <hyperlink ref="P38" r:id="rId24"/>
    <hyperlink ref="P39" r:id="rId25"/>
    <hyperlink ref="P40" r:id="rId26"/>
    <hyperlink ref="P41" r:id="rId27"/>
    <hyperlink ref="P42" r:id="rId28"/>
    <hyperlink ref="P43" r:id="rId29"/>
    <hyperlink ref="P44" r:id="rId30"/>
    <hyperlink ref="P46" r:id="rId31"/>
    <hyperlink ref="P47" r:id="rId32"/>
    <hyperlink ref="P48" r:id="rId33"/>
    <hyperlink ref="P49" r:id="rId34"/>
    <hyperlink ref="P50" r:id="rId35"/>
    <hyperlink ref="P51" r:id="rId36"/>
    <hyperlink ref="P52" r:id="rId37"/>
    <hyperlink ref="P53" r:id="rId38"/>
    <hyperlink ref="P54" r:id="rId39"/>
    <hyperlink ref="P55" r:id="rId40"/>
    <hyperlink ref="P56" r:id="rId41"/>
    <hyperlink ref="P57" r:id="rId42"/>
    <hyperlink ref="P27" r:id="rId43"/>
    <hyperlink ref="P23" r:id="rId44"/>
    <hyperlink ref="P36" r:id="rId45"/>
  </hyperlinks>
  <pageMargins left="0.7" right="0.7" top="0.75" bottom="0.75" header="0.3" footer="0.3"/>
  <pageSetup paperSize="9" orientation="portrait" r:id="rId46"/>
  <drawing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DANISH TRADERS</cp:lastModifiedBy>
  <dcterms:created xsi:type="dcterms:W3CDTF">2019-12-12T10:34:26Z</dcterms:created>
  <dcterms:modified xsi:type="dcterms:W3CDTF">2022-06-01T11:29:10Z</dcterms:modified>
</cp:coreProperties>
</file>