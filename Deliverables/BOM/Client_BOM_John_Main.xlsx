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3" i="1" l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<sst xmlns="http://schemas.openxmlformats.org/spreadsheetml/2006/main" count="364" uniqueCount="241">
  <si>
    <t>#</t>
  </si>
  <si>
    <t>Item Type</t>
  </si>
  <si>
    <t>Inductor</t>
  </si>
  <si>
    <t>Designator</t>
  </si>
  <si>
    <t>C1, C23, C33, CF1</t>
  </si>
  <si>
    <t>C2, C8, C10, C12, C17, C32, CF4, CF5, CF8</t>
  </si>
  <si>
    <t>C9, CS1</t>
  </si>
  <si>
    <t>C11</t>
  </si>
  <si>
    <t>C13</t>
  </si>
  <si>
    <t>C14</t>
  </si>
  <si>
    <t>C15, C16</t>
  </si>
  <si>
    <t>C25, CU5</t>
  </si>
  <si>
    <t>C34, C35</t>
  </si>
  <si>
    <t>CF2, CF3</t>
  </si>
  <si>
    <t>CF6, CF7</t>
  </si>
  <si>
    <t>CU1, CU2, CU3, CU4, CU8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</si>
  <si>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</si>
  <si>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</si>
  <si>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</si>
  <si>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</si>
  <si>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</si>
  <si>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</si>
  <si>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</si>
  <si>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</si>
  <si>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</si>
  <si>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</si>
  <si>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</si>
  <si>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</si>
  <si>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</si>
  <si>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Q2, Q17, Q18, Q19, Q20, Q21, Q22, Q23, Q24, Q29, Q30, Q31, Q32, Q33, Q34, Q35, Q36, Q39, Q40, Q41, Q42, Q47, Q48, Q49, Q50, Q51, Q52, Q53, Q54, Q59, Q60, Q61, Q62, Q63, Q64, Q65, Q66, Q69, Q70, Q71, Q72, Q73, Q74, Q75, Q76</t>
  </si>
  <si>
    <t>Q13, Q14, Q15, Q16, Q25, Q26, Q27, Q28, Q37, Q38, Q43, Q44, Q45, Q46, Q55, Q56, Q57, Q58, Q67, Q68</t>
  </si>
  <si>
    <t>R1, R4, R59, R60, R61, R62, R63, R64, R65, R66, R71, R72, R73, R74, R75, R76, R77, R78, R83, R84, R85, R86, R90, R91, R92, R93, R94, R95, R96, R97, R102, R103, R104, R105, R106, R107, R108, R109, R114, R115, R116, R117, R120, R121, R122, R123</t>
  </si>
  <si>
    <t>R2</t>
  </si>
  <si>
    <t>R3, R58</t>
  </si>
  <si>
    <t>R5, R13, R14, R21, R22</t>
  </si>
  <si>
    <t>R6</t>
  </si>
  <si>
    <t>R7, R9</t>
  </si>
  <si>
    <t>R8</t>
  </si>
  <si>
    <t>R10</t>
  </si>
  <si>
    <t>R11, R15, R18, R23, R24</t>
  </si>
  <si>
    <t>R12, R19, R20, R25, R26, RF3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</si>
  <si>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</si>
  <si>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</si>
  <si>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</si>
  <si>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</si>
  <si>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</si>
  <si>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RP1, RP2, RP3, RP4, RP5, RP6, RP7, RP8, RP9, RP10, RP11, RP12, RP13, RP14, RP15, RP16, RP17, RP18, RP19, RP20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</si>
  <si>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</si>
  <si>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</si>
  <si>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</si>
  <si>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</si>
  <si>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</si>
  <si>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</si>
  <si>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</si>
  <si>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</si>
  <si>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</si>
  <si>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</si>
  <si>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</si>
  <si>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</si>
  <si>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</si>
  <si>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</si>
  <si>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</si>
  <si>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</si>
  <si>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</si>
  <si>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</si>
  <si>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</si>
  <si>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0.1UF 16V X7R 0402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</si>
  <si>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</si>
  <si>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</si>
  <si>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</si>
  <si>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</si>
  <si>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</si>
  <si>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</si>
  <si>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</si>
  <si>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</si>
  <si>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</si>
  <si>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</si>
  <si>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6A 3.3uH ±20% SMD Power Inductors ROHS</t>
  </si>
  <si>
    <t>CONN HEADER VERT 11POS 2.54MM</t>
  </si>
  <si>
    <t>P-Channel 30V Fast Switching MOSFET</t>
  </si>
  <si>
    <t>MOSFET N-CH 50V 200MA SOT-23</t>
  </si>
  <si>
    <t>MOSFET P-CH 20V 2.8A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</si>
  <si>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</si>
  <si>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</si>
  <si>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</si>
  <si>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</si>
  <si>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</si>
  <si>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</si>
  <si>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</si>
  <si>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</si>
  <si>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</si>
  <si>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10K OHM 5% 1/10W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</si>
  <si>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</si>
  <si>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</si>
  <si>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</si>
  <si>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</si>
  <si>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</si>
  <si>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</si>
  <si>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</si>
  <si>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</si>
  <si>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5VWM 10VC 6TSOP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</si>
  <si>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</si>
  <si>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</si>
  <si>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</si>
  <si>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</si>
  <si>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</si>
  <si>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</si>
  <si>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</si>
  <si>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</si>
  <si>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</si>
  <si>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</si>
  <si>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</si>
  <si>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SOD123W</t>
  </si>
  <si>
    <t>MF-MSMF250/16X-2</t>
  </si>
  <si>
    <t>MMZ1005F121ET000</t>
  </si>
  <si>
    <t>MS0530-2R2M</t>
  </si>
  <si>
    <t>LED SMT</t>
  </si>
  <si>
    <t>MCS0630-3R3MN2</t>
  </si>
  <si>
    <t>SOT-23</t>
  </si>
  <si>
    <t>SOT23-3</t>
  </si>
  <si>
    <t>Res0402</t>
  </si>
  <si>
    <t>Res0603</t>
  </si>
  <si>
    <t>B3U-1000P</t>
  </si>
  <si>
    <t>OS102011MA1QN1</t>
  </si>
  <si>
    <t>TPS563201DDCR</t>
  </si>
  <si>
    <t>6-TSOP</t>
  </si>
  <si>
    <t>STM32F070CBT6TR</t>
  </si>
  <si>
    <t>PS2801C-1-F3-A</t>
  </si>
  <si>
    <t>49MD-8.000-20-20-20/A</t>
  </si>
  <si>
    <t>Manufacturer Part Number</t>
  </si>
  <si>
    <t>CL05A106MP8NUB8</t>
  </si>
  <si>
    <t>CC0402KRX5R7BB104</t>
  </si>
  <si>
    <t>GRM21BR61E226ME44K</t>
  </si>
  <si>
    <t>GRT155R61E474KE01D</t>
  </si>
  <si>
    <t>GRM033R61C473KE84D</t>
  </si>
  <si>
    <t>GRM31CR61E476ME44L</t>
  </si>
  <si>
    <t>CL10A475KA8NQNC</t>
  </si>
  <si>
    <t>TMK107BBJ106MA-T</t>
  </si>
  <si>
    <t>CC0805MKX5R8BB226</t>
  </si>
  <si>
    <t>CC0402KRX7R7BB104</t>
  </si>
  <si>
    <t>GRM155R61E105KA12D</t>
  </si>
  <si>
    <t>CC0402KRX7R8BB103</t>
  </si>
  <si>
    <t>GJM0336C1E200JB01D</t>
  </si>
  <si>
    <t>PMEG3010ER,115</t>
  </si>
  <si>
    <t>LTST-C190KGKT</t>
  </si>
  <si>
    <t>BSS138LT1G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</si>
  <si>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</si>
  <si>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</si>
  <si>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</si>
  <si>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</si>
  <si>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</si>
  <si>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</si>
  <si>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</si>
  <si>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</si>
  <si>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</si>
  <si>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RK73B1ETTP103J</t>
  </si>
  <si>
    <t>RC0402FR-07330RL</t>
  </si>
  <si>
    <t>AC0402FR-0754K9L</t>
  </si>
  <si>
    <t>RC0402JR-0720KL</t>
  </si>
  <si>
    <t>AT0402FRE071KL</t>
  </si>
  <si>
    <t>NUP2114UCMR6T1G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</si>
  <si>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</si>
  <si>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</si>
  <si>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</si>
  <si>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</si>
  <si>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</si>
  <si>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</si>
  <si>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</si>
  <si>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Nexperia</t>
  </si>
  <si>
    <t>Bourns</t>
  </si>
  <si>
    <t>TDK</t>
  </si>
  <si>
    <t>Phoenix Contact</t>
  </si>
  <si>
    <t>COILMX</t>
  </si>
  <si>
    <t>Vishay Lite-On</t>
  </si>
  <si>
    <t>PSA(Prosperity Dielectrics)</t>
  </si>
  <si>
    <t>Molex</t>
  </si>
  <si>
    <t>TY Semiconductor</t>
  </si>
  <si>
    <t>ON Semiconductor</t>
  </si>
  <si>
    <t>Yageo Phycomp</t>
  </si>
  <si>
    <t>Vishay</t>
  </si>
  <si>
    <t>KOA Speer</t>
  </si>
  <si>
    <t>Omron</t>
  </si>
  <si>
    <t>ITT C&amp;K</t>
  </si>
  <si>
    <t>Texas Instruments</t>
  </si>
  <si>
    <t>onsemi</t>
  </si>
  <si>
    <t>CEL</t>
  </si>
  <si>
    <t>Amphenol FCI</t>
  </si>
  <si>
    <t>Suzhou Liming Elec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</si>
  <si>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</si>
  <si>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</si>
  <si>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</si>
  <si>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</si>
  <si>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</si>
  <si>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</si>
  <si>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</si>
  <si>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</si>
  <si>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</si>
  <si>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</si>
  <si>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</si>
  <si>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</si>
  <si>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3.3uH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</si>
  <si>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</si>
  <si>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</si>
  <si>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</si>
  <si>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</si>
  <si>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</si>
  <si>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</si>
  <si>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</si>
  <si>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</si>
  <si>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</si>
  <si>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</si>
  <si>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</si>
  <si>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</si>
  <si>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</si>
  <si>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</si>
  <si>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</si>
  <si>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</si>
  <si>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Value</t>
  </si>
  <si>
    <t>Remarks</t>
  </si>
  <si>
    <t>Capacitor</t>
  </si>
  <si>
    <t>Diode</t>
  </si>
  <si>
    <t>Mosfet</t>
  </si>
  <si>
    <t>Fuse</t>
  </si>
  <si>
    <t>Ferrite Bead</t>
  </si>
  <si>
    <t>Terminal Block</t>
  </si>
  <si>
    <t>LED</t>
  </si>
  <si>
    <t>Connector</t>
  </si>
  <si>
    <t>Resistor</t>
  </si>
  <si>
    <t>Switch</t>
  </si>
  <si>
    <t>IC</t>
  </si>
  <si>
    <t>USB Connector</t>
  </si>
  <si>
    <t>Crystal</t>
  </si>
  <si>
    <t>Custom</t>
  </si>
  <si>
    <t>48LQFP</t>
  </si>
  <si>
    <t>TSOT23-6</t>
  </si>
  <si>
    <t>RT0402FRE071KL</t>
  </si>
  <si>
    <t>RT0402FRE0727RL</t>
  </si>
  <si>
    <t>RC0402FR-074K7L</t>
  </si>
  <si>
    <t>GCM1555C1H470JA16D</t>
  </si>
  <si>
    <t>-</t>
  </si>
  <si>
    <t>STMicroelectronics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</si>
</sst>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tabSelected="1" workbookViewId="0">
      <selection activeCell="P20" sqref="P2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9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</v>
      </c>
      <c r="E2" s="6" t="s">
        <v>55</v>
      </c>
      <c r="F2" s="5" t="s">
        <v>105</v>
      </c>
      <c r="G2" s="6" t="s">
        <v>129</v>
      </c>
      <c r="H2" s="5" t="s">
        <v>162</v>
      </c>
      <c r="I2" s="6" t="s">
        <v>217</v>
      </c>
      <c r="J2" s="5" t="s">
        <v>216</v>
      </c>
      <c r="K2" s="5" t="s">
        <v>218</v>
      </c>
    </row>
    <row r="3" spans="1:11" ht="15.75" thickBot="1" x14ac:dyDescent="0.3">
      <c r="A3" s="1"/>
      <c r="B3" s="11">
        <f>ROW(B3) - ROW($B$2)</f>
        <v>1</v>
      </c>
      <c r="C3" s="12" t="s">
        <v>219</v>
      </c>
      <c r="D3" s="7" t="s">
        <v>4</v>
      </c>
      <c r="E3" s="8" t="s">
        <v>56</v>
      </c>
      <c r="F3" s="7" t="s">
        <v>106</v>
      </c>
      <c r="G3" s="8" t="s">
        <v>130</v>
      </c>
      <c r="H3" s="7" t="s">
        <v>163</v>
      </c>
      <c r="I3" s="8" t="s">
        <v>188</v>
      </c>
      <c r="J3" s="7">
        <v>4</v>
      </c>
      <c r="K3" s="7"/>
    </row>
    <row r="4" spans="1:11" ht="15.75" thickBot="1" x14ac:dyDescent="0.3">
      <c r="A4" s="1"/>
      <c r="B4" s="11">
        <f t="shared" ref="B4:B52" si="0">ROW(B4) - ROW($B$2)</f>
        <v>2</v>
      </c>
      <c r="C4" s="12" t="s">
        <v>219</v>
      </c>
      <c r="D4" s="9" t="s">
        <v>5</v>
      </c>
      <c r="E4" s="10" t="s">
        <v>57</v>
      </c>
      <c r="F4" s="9" t="s">
        <v>106</v>
      </c>
      <c r="G4" s="10" t="s">
        <v>131</v>
      </c>
      <c r="H4" s="9" t="s">
        <v>164</v>
      </c>
      <c r="I4" s="10" t="s">
        <v>189</v>
      </c>
      <c r="J4" s="9">
        <v>9</v>
      </c>
      <c r="K4" s="9"/>
    </row>
    <row r="5" spans="1:11" ht="15.75" thickBot="1" x14ac:dyDescent="0.3">
      <c r="A5" s="1"/>
      <c r="B5" s="11">
        <f>ROW(B5) - ROW($B$2)</f>
        <v>3</v>
      </c>
      <c r="C5" s="12" t="s">
        <v>219</v>
      </c>
      <c r="D5" s="7" t="s">
        <v>6</v>
      </c>
      <c r="E5" s="8" t="s">
        <v>58</v>
      </c>
      <c r="F5" s="7" t="s">
        <v>107</v>
      </c>
      <c r="G5" s="8" t="s">
        <v>132</v>
      </c>
      <c r="H5" s="7" t="s">
        <v>165</v>
      </c>
      <c r="I5" s="8" t="s">
        <v>190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219</v>
      </c>
      <c r="D6" s="9" t="s">
        <v>7</v>
      </c>
      <c r="E6" s="10" t="s">
        <v>59</v>
      </c>
      <c r="F6" s="7" t="s">
        <v>232</v>
      </c>
      <c r="G6" s="10" t="s">
        <v>108</v>
      </c>
      <c r="H6" s="9" t="s">
        <v>166</v>
      </c>
      <c r="I6" s="10" t="s">
        <v>191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219</v>
      </c>
      <c r="D7" s="7" t="s">
        <v>8</v>
      </c>
      <c r="E7" s="8" t="s">
        <v>60</v>
      </c>
      <c r="F7" s="7" t="s">
        <v>106</v>
      </c>
      <c r="G7" s="8" t="s">
        <v>133</v>
      </c>
      <c r="H7" s="7" t="s">
        <v>165</v>
      </c>
      <c r="I7" s="8" t="s">
        <v>192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2" t="s">
        <v>219</v>
      </c>
      <c r="D8" s="9" t="s">
        <v>9</v>
      </c>
      <c r="E8" s="10" t="s">
        <v>61</v>
      </c>
      <c r="F8" s="9" t="s">
        <v>109</v>
      </c>
      <c r="G8" s="10" t="s">
        <v>134</v>
      </c>
      <c r="H8" s="9" t="s">
        <v>165</v>
      </c>
      <c r="I8" s="10" t="s">
        <v>193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219</v>
      </c>
      <c r="D9" s="7" t="s">
        <v>10</v>
      </c>
      <c r="E9" s="8" t="s">
        <v>62</v>
      </c>
      <c r="F9" s="7" t="s">
        <v>110</v>
      </c>
      <c r="G9" s="8" t="s">
        <v>135</v>
      </c>
      <c r="H9" s="7" t="s">
        <v>165</v>
      </c>
      <c r="I9" s="8" t="s">
        <v>194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219</v>
      </c>
      <c r="D10" s="9" t="s">
        <v>11</v>
      </c>
      <c r="E10" s="10" t="s">
        <v>63</v>
      </c>
      <c r="F10" s="9" t="s">
        <v>111</v>
      </c>
      <c r="G10" s="10" t="s">
        <v>136</v>
      </c>
      <c r="H10" s="9" t="s">
        <v>163</v>
      </c>
      <c r="I10" s="10" t="s">
        <v>195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219</v>
      </c>
      <c r="D11" s="7" t="s">
        <v>12</v>
      </c>
      <c r="E11" s="8" t="s">
        <v>64</v>
      </c>
      <c r="F11" s="7" t="s">
        <v>106</v>
      </c>
      <c r="G11" s="8" t="s">
        <v>238</v>
      </c>
      <c r="H11" s="7" t="s">
        <v>165</v>
      </c>
      <c r="I11" s="8" t="s">
        <v>196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219</v>
      </c>
      <c r="D12" s="9" t="s">
        <v>13</v>
      </c>
      <c r="E12" s="10" t="s">
        <v>65</v>
      </c>
      <c r="F12" s="9" t="s">
        <v>111</v>
      </c>
      <c r="G12" s="10" t="s">
        <v>137</v>
      </c>
      <c r="H12" s="9" t="s">
        <v>167</v>
      </c>
      <c r="I12" s="10" t="s">
        <v>188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219</v>
      </c>
      <c r="D13" s="7" t="s">
        <v>14</v>
      </c>
      <c r="E13" s="8" t="s">
        <v>58</v>
      </c>
      <c r="F13" s="7" t="s">
        <v>107</v>
      </c>
      <c r="G13" s="8" t="s">
        <v>138</v>
      </c>
      <c r="H13" s="7" t="s">
        <v>164</v>
      </c>
      <c r="I13" s="8" t="s">
        <v>190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219</v>
      </c>
      <c r="D14" s="9" t="s">
        <v>15</v>
      </c>
      <c r="E14" s="10" t="s">
        <v>66</v>
      </c>
      <c r="F14" s="9" t="s">
        <v>106</v>
      </c>
      <c r="G14" s="10" t="s">
        <v>139</v>
      </c>
      <c r="H14" s="9" t="s">
        <v>164</v>
      </c>
      <c r="I14" s="10" t="s">
        <v>189</v>
      </c>
      <c r="J14" s="9">
        <v>5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219</v>
      </c>
      <c r="D15" s="7" t="s">
        <v>16</v>
      </c>
      <c r="E15" s="8" t="s">
        <v>67</v>
      </c>
      <c r="F15" s="7" t="s">
        <v>106</v>
      </c>
      <c r="G15" s="8" t="s">
        <v>140</v>
      </c>
      <c r="H15" s="7" t="s">
        <v>165</v>
      </c>
      <c r="I15" s="8" t="s">
        <v>197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219</v>
      </c>
      <c r="D16" s="9" t="s">
        <v>17</v>
      </c>
      <c r="E16" s="10" t="s">
        <v>68</v>
      </c>
      <c r="F16" s="9" t="s">
        <v>106</v>
      </c>
      <c r="G16" s="10" t="s">
        <v>141</v>
      </c>
      <c r="H16" s="9" t="s">
        <v>164</v>
      </c>
      <c r="I16" s="10" t="s">
        <v>198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219</v>
      </c>
      <c r="D17" s="7" t="s">
        <v>18</v>
      </c>
      <c r="E17" s="8" t="s">
        <v>69</v>
      </c>
      <c r="F17" s="7" t="s">
        <v>109</v>
      </c>
      <c r="G17" s="8" t="s">
        <v>142</v>
      </c>
      <c r="H17" s="7" t="s">
        <v>165</v>
      </c>
      <c r="I17" s="8" t="s">
        <v>199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220</v>
      </c>
      <c r="D18" s="9" t="s">
        <v>19</v>
      </c>
      <c r="E18" s="10" t="s">
        <v>70</v>
      </c>
      <c r="F18" s="9" t="s">
        <v>112</v>
      </c>
      <c r="G18" s="10" t="s">
        <v>143</v>
      </c>
      <c r="H18" s="9" t="s">
        <v>168</v>
      </c>
      <c r="I18" s="10" t="s">
        <v>239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222</v>
      </c>
      <c r="D19" s="7" t="s">
        <v>20</v>
      </c>
      <c r="E19" s="8" t="s">
        <v>71</v>
      </c>
      <c r="F19" s="7" t="s">
        <v>232</v>
      </c>
      <c r="G19" s="8" t="s">
        <v>113</v>
      </c>
      <c r="H19" s="7" t="s">
        <v>169</v>
      </c>
      <c r="I19" s="10" t="s">
        <v>239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223</v>
      </c>
      <c r="D20" s="9" t="s">
        <v>21</v>
      </c>
      <c r="E20" s="10" t="s">
        <v>72</v>
      </c>
      <c r="F20" s="7" t="s">
        <v>232</v>
      </c>
      <c r="G20" s="10" t="s">
        <v>114</v>
      </c>
      <c r="H20" s="9" t="s">
        <v>170</v>
      </c>
      <c r="I20" s="10" t="s">
        <v>239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73</v>
      </c>
      <c r="D21" s="7" t="s">
        <v>22</v>
      </c>
      <c r="E21" s="8" t="s">
        <v>73</v>
      </c>
      <c r="F21" s="7" t="s">
        <v>232</v>
      </c>
      <c r="G21" s="8" t="s">
        <v>73</v>
      </c>
      <c r="H21" s="7"/>
      <c r="I21" s="10" t="s">
        <v>239</v>
      </c>
      <c r="J21" s="7">
        <v>7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224</v>
      </c>
      <c r="D22" s="9" t="s">
        <v>23</v>
      </c>
      <c r="E22" s="10" t="s">
        <v>74</v>
      </c>
      <c r="F22" s="7" t="s">
        <v>232</v>
      </c>
      <c r="G22" s="10">
        <v>1729225</v>
      </c>
      <c r="H22" s="9" t="s">
        <v>171</v>
      </c>
      <c r="I22" s="10" t="s">
        <v>239</v>
      </c>
      <c r="J22" s="9">
        <v>1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2</v>
      </c>
      <c r="D23" s="7" t="s">
        <v>24</v>
      </c>
      <c r="E23" s="8" t="s">
        <v>75</v>
      </c>
      <c r="F23" s="7" t="s">
        <v>232</v>
      </c>
      <c r="G23" s="8" t="s">
        <v>115</v>
      </c>
      <c r="H23" s="7" t="s">
        <v>172</v>
      </c>
      <c r="I23" s="10" t="s">
        <v>239</v>
      </c>
      <c r="J23" s="7">
        <v>1</v>
      </c>
      <c r="K23" s="7"/>
    </row>
    <row r="24" spans="1:11" ht="48.75" thickBot="1" x14ac:dyDescent="0.3">
      <c r="A24" s="1"/>
      <c r="B24" s="11">
        <f t="shared" si="0"/>
        <v>22</v>
      </c>
      <c r="C24" s="13" t="s">
        <v>225</v>
      </c>
      <c r="D24" s="9" t="s">
        <v>25</v>
      </c>
      <c r="E24" s="10" t="s">
        <v>76</v>
      </c>
      <c r="F24" s="9" t="s">
        <v>116</v>
      </c>
      <c r="G24" s="10" t="s">
        <v>144</v>
      </c>
      <c r="H24" s="9" t="s">
        <v>173</v>
      </c>
      <c r="I24" s="10" t="s">
        <v>239</v>
      </c>
      <c r="J24" s="9">
        <v>22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2</v>
      </c>
      <c r="D25" s="7" t="s">
        <v>26</v>
      </c>
      <c r="E25" s="8" t="s">
        <v>77</v>
      </c>
      <c r="F25" s="7" t="s">
        <v>232</v>
      </c>
      <c r="G25" s="8" t="s">
        <v>117</v>
      </c>
      <c r="H25" s="7" t="s">
        <v>174</v>
      </c>
      <c r="I25" s="8" t="s">
        <v>200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226</v>
      </c>
      <c r="D26" s="9" t="s">
        <v>27</v>
      </c>
      <c r="E26" s="10" t="s">
        <v>78</v>
      </c>
      <c r="F26" s="7" t="s">
        <v>232</v>
      </c>
      <c r="G26" s="10">
        <v>22232111</v>
      </c>
      <c r="H26" s="9" t="s">
        <v>175</v>
      </c>
      <c r="I26" s="10" t="s">
        <v>239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221</v>
      </c>
      <c r="D27" s="7" t="s">
        <v>28</v>
      </c>
      <c r="E27" s="8" t="s">
        <v>79</v>
      </c>
      <c r="F27" s="7" t="s">
        <v>118</v>
      </c>
      <c r="G27" s="8" t="s">
        <v>201</v>
      </c>
      <c r="H27" s="7" t="s">
        <v>176</v>
      </c>
      <c r="I27" s="10" t="s">
        <v>239</v>
      </c>
      <c r="J27" s="7">
        <v>1</v>
      </c>
      <c r="K27" s="7"/>
    </row>
    <row r="28" spans="1:11" ht="60.75" thickBot="1" x14ac:dyDescent="0.3">
      <c r="A28" s="1"/>
      <c r="B28" s="11">
        <f t="shared" si="0"/>
        <v>26</v>
      </c>
      <c r="C28" s="12" t="s">
        <v>221</v>
      </c>
      <c r="D28" s="9" t="s">
        <v>29</v>
      </c>
      <c r="E28" s="10" t="s">
        <v>80</v>
      </c>
      <c r="F28" s="9" t="s">
        <v>119</v>
      </c>
      <c r="G28" s="10" t="s">
        <v>145</v>
      </c>
      <c r="H28" s="9" t="s">
        <v>177</v>
      </c>
      <c r="I28" s="10" t="s">
        <v>239</v>
      </c>
      <c r="J28" s="9">
        <v>45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221</v>
      </c>
      <c r="D29" s="7" t="s">
        <v>30</v>
      </c>
      <c r="E29" s="8" t="s">
        <v>81</v>
      </c>
      <c r="F29" s="7" t="s">
        <v>119</v>
      </c>
      <c r="G29" s="8" t="s">
        <v>146</v>
      </c>
      <c r="H29" s="7" t="s">
        <v>168</v>
      </c>
      <c r="I29" s="10" t="s">
        <v>239</v>
      </c>
      <c r="J29" s="7">
        <v>20</v>
      </c>
      <c r="K29" s="7"/>
    </row>
    <row r="30" spans="1:11" ht="72.75" thickBot="1" x14ac:dyDescent="0.3">
      <c r="A30" s="1"/>
      <c r="B30" s="11">
        <f t="shared" si="0"/>
        <v>28</v>
      </c>
      <c r="C30" s="13" t="s">
        <v>227</v>
      </c>
      <c r="D30" s="9" t="s">
        <v>31</v>
      </c>
      <c r="E30" s="10" t="s">
        <v>82</v>
      </c>
      <c r="F30" s="9" t="s">
        <v>120</v>
      </c>
      <c r="G30" s="10" t="s">
        <v>147</v>
      </c>
      <c r="H30" s="9" t="s">
        <v>178</v>
      </c>
      <c r="I30" s="10" t="s">
        <v>202</v>
      </c>
      <c r="J30" s="9">
        <v>46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227</v>
      </c>
      <c r="D31" s="7" t="s">
        <v>32</v>
      </c>
      <c r="E31" s="8" t="s">
        <v>83</v>
      </c>
      <c r="F31" s="7" t="s">
        <v>120</v>
      </c>
      <c r="G31" s="8" t="s">
        <v>148</v>
      </c>
      <c r="H31" s="7" t="s">
        <v>164</v>
      </c>
      <c r="I31" s="8" t="s">
        <v>203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227</v>
      </c>
      <c r="D32" s="9" t="s">
        <v>33</v>
      </c>
      <c r="E32" s="10" t="s">
        <v>84</v>
      </c>
      <c r="F32" s="9" t="s">
        <v>120</v>
      </c>
      <c r="G32" s="10" t="s">
        <v>235</v>
      </c>
      <c r="H32" s="9" t="s">
        <v>164</v>
      </c>
      <c r="I32" s="10" t="s">
        <v>204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3" t="s">
        <v>227</v>
      </c>
      <c r="D33" s="7" t="s">
        <v>34</v>
      </c>
      <c r="E33" s="8" t="s">
        <v>85</v>
      </c>
      <c r="F33" s="7" t="s">
        <v>121</v>
      </c>
      <c r="G33" s="8" t="s">
        <v>149</v>
      </c>
      <c r="H33" s="7" t="s">
        <v>164</v>
      </c>
      <c r="I33" s="8" t="s">
        <v>205</v>
      </c>
      <c r="J33" s="7">
        <v>5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227</v>
      </c>
      <c r="D34" s="9" t="s">
        <v>35</v>
      </c>
      <c r="E34" s="10" t="s">
        <v>86</v>
      </c>
      <c r="F34" s="9" t="s">
        <v>120</v>
      </c>
      <c r="G34" s="10" t="s">
        <v>150</v>
      </c>
      <c r="H34" s="9" t="s">
        <v>164</v>
      </c>
      <c r="I34" s="10" t="s">
        <v>206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3" t="s">
        <v>227</v>
      </c>
      <c r="D35" s="7" t="s">
        <v>36</v>
      </c>
      <c r="E35" s="8" t="s">
        <v>87</v>
      </c>
      <c r="F35" s="7" t="s">
        <v>120</v>
      </c>
      <c r="G35" s="8" t="s">
        <v>151</v>
      </c>
      <c r="H35" s="7" t="s">
        <v>164</v>
      </c>
      <c r="I35" s="8" t="s">
        <v>207</v>
      </c>
      <c r="J35" s="7">
        <v>2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227</v>
      </c>
      <c r="D36" s="9" t="s">
        <v>37</v>
      </c>
      <c r="E36" s="10" t="s">
        <v>88</v>
      </c>
      <c r="F36" s="9" t="s">
        <v>120</v>
      </c>
      <c r="G36" s="10" t="s">
        <v>152</v>
      </c>
      <c r="H36" s="9" t="s">
        <v>164</v>
      </c>
      <c r="I36" s="10" t="s">
        <v>208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3" t="s">
        <v>227</v>
      </c>
      <c r="D37" s="7" t="s">
        <v>38</v>
      </c>
      <c r="E37" s="8" t="s">
        <v>89</v>
      </c>
      <c r="F37" s="7" t="s">
        <v>120</v>
      </c>
      <c r="G37" s="8" t="s">
        <v>153</v>
      </c>
      <c r="H37" s="7" t="s">
        <v>164</v>
      </c>
      <c r="I37" s="8" t="s">
        <v>209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227</v>
      </c>
      <c r="D38" s="9" t="s">
        <v>39</v>
      </c>
      <c r="E38" s="10" t="s">
        <v>90</v>
      </c>
      <c r="F38" s="9" t="s">
        <v>120</v>
      </c>
      <c r="G38" s="10" t="s">
        <v>154</v>
      </c>
      <c r="H38" s="9" t="s">
        <v>179</v>
      </c>
      <c r="I38" s="10" t="s">
        <v>210</v>
      </c>
      <c r="J38" s="9">
        <v>5</v>
      </c>
      <c r="K38" s="9"/>
    </row>
    <row r="39" spans="1:11" ht="15.75" thickBot="1" x14ac:dyDescent="0.3">
      <c r="A39" s="1"/>
      <c r="B39" s="11">
        <f>ROW(B39) - ROW($B$2)</f>
        <v>37</v>
      </c>
      <c r="C39" s="13" t="s">
        <v>227</v>
      </c>
      <c r="D39" s="7" t="s">
        <v>40</v>
      </c>
      <c r="E39" s="8" t="s">
        <v>91</v>
      </c>
      <c r="F39" s="7" t="s">
        <v>120</v>
      </c>
      <c r="G39" s="8" t="s">
        <v>155</v>
      </c>
      <c r="H39" s="7" t="s">
        <v>180</v>
      </c>
      <c r="I39" s="8" t="s">
        <v>202</v>
      </c>
      <c r="J39" s="7">
        <v>6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227</v>
      </c>
      <c r="D40" s="9" t="s">
        <v>41</v>
      </c>
      <c r="E40" s="10" t="s">
        <v>92</v>
      </c>
      <c r="F40" s="9" t="s">
        <v>120</v>
      </c>
      <c r="G40" s="10" t="s">
        <v>236</v>
      </c>
      <c r="H40" s="9" t="s">
        <v>164</v>
      </c>
      <c r="I40" s="10" t="s">
        <v>211</v>
      </c>
      <c r="J40" s="9">
        <v>2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227</v>
      </c>
      <c r="D41" s="7" t="s">
        <v>42</v>
      </c>
      <c r="E41" s="8" t="s">
        <v>93</v>
      </c>
      <c r="F41" s="7" t="s">
        <v>120</v>
      </c>
      <c r="G41" s="8" t="s">
        <v>237</v>
      </c>
      <c r="H41" s="7" t="s">
        <v>164</v>
      </c>
      <c r="I41" s="8" t="s">
        <v>212</v>
      </c>
      <c r="J41" s="7">
        <v>4</v>
      </c>
      <c r="K41" s="7"/>
    </row>
    <row r="42" spans="1:11" ht="36.75" thickBot="1" x14ac:dyDescent="0.3">
      <c r="A42" s="1"/>
      <c r="B42" s="11">
        <f t="shared" si="0"/>
        <v>40</v>
      </c>
      <c r="C42" s="13" t="s">
        <v>227</v>
      </c>
      <c r="D42" s="9" t="s">
        <v>43</v>
      </c>
      <c r="E42" s="10" t="s">
        <v>94</v>
      </c>
      <c r="F42" s="9" t="s">
        <v>120</v>
      </c>
      <c r="G42" s="10" t="s">
        <v>156</v>
      </c>
      <c r="H42" s="9" t="s">
        <v>164</v>
      </c>
      <c r="I42" s="10" t="s">
        <v>213</v>
      </c>
      <c r="J42" s="9">
        <v>20</v>
      </c>
      <c r="K42" s="9"/>
    </row>
    <row r="43" spans="1:11" ht="15.75" thickBot="1" x14ac:dyDescent="0.3">
      <c r="A43" s="1"/>
      <c r="B43" s="11">
        <f>ROW(B43) - ROW($B$2)</f>
        <v>41</v>
      </c>
      <c r="C43" s="13" t="s">
        <v>227</v>
      </c>
      <c r="D43" s="7" t="s">
        <v>44</v>
      </c>
      <c r="E43" s="8" t="s">
        <v>95</v>
      </c>
      <c r="F43" s="7" t="s">
        <v>120</v>
      </c>
      <c r="G43" s="8" t="s">
        <v>157</v>
      </c>
      <c r="H43" s="7" t="s">
        <v>164</v>
      </c>
      <c r="I43" s="8" t="s">
        <v>214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227</v>
      </c>
      <c r="D44" s="9" t="s">
        <v>45</v>
      </c>
      <c r="E44" s="10" t="s">
        <v>96</v>
      </c>
      <c r="F44" s="9" t="s">
        <v>120</v>
      </c>
      <c r="G44" s="10" t="s">
        <v>158</v>
      </c>
      <c r="H44" s="9" t="s">
        <v>164</v>
      </c>
      <c r="I44" s="10" t="s">
        <v>215</v>
      </c>
      <c r="J44" s="9">
        <v>4</v>
      </c>
      <c r="K44" s="9"/>
    </row>
    <row r="45" spans="1:11" ht="36.75" thickBot="1" x14ac:dyDescent="0.3">
      <c r="A45" s="1"/>
      <c r="B45" s="11">
        <f>ROW(B45) - ROW($B$2)</f>
        <v>43</v>
      </c>
      <c r="C45" s="13" t="s">
        <v>227</v>
      </c>
      <c r="D45" s="7" t="s">
        <v>46</v>
      </c>
      <c r="E45" s="8" t="s">
        <v>84</v>
      </c>
      <c r="F45" s="7" t="s">
        <v>120</v>
      </c>
      <c r="G45" s="8" t="s">
        <v>159</v>
      </c>
      <c r="H45" s="7" t="s">
        <v>164</v>
      </c>
      <c r="I45" s="8" t="s">
        <v>204</v>
      </c>
      <c r="J45" s="7">
        <v>20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228</v>
      </c>
      <c r="D46" s="9" t="s">
        <v>47</v>
      </c>
      <c r="E46" s="10" t="s">
        <v>97</v>
      </c>
      <c r="F46" s="7" t="s">
        <v>232</v>
      </c>
      <c r="G46" s="10" t="s">
        <v>122</v>
      </c>
      <c r="H46" s="9" t="s">
        <v>181</v>
      </c>
      <c r="I46" s="10" t="s">
        <v>239</v>
      </c>
      <c r="J46" s="9">
        <v>1</v>
      </c>
      <c r="K46" s="9"/>
    </row>
    <row r="47" spans="1:11" ht="36.75" thickBot="1" x14ac:dyDescent="0.3">
      <c r="A47" s="1"/>
      <c r="B47" s="11">
        <f>ROW(B47) - ROW($B$2)</f>
        <v>45</v>
      </c>
      <c r="C47" s="13" t="s">
        <v>228</v>
      </c>
      <c r="D47" s="7" t="s">
        <v>48</v>
      </c>
      <c r="E47" s="8" t="s">
        <v>98</v>
      </c>
      <c r="F47" s="7" t="s">
        <v>232</v>
      </c>
      <c r="G47" s="8" t="s">
        <v>123</v>
      </c>
      <c r="H47" s="7" t="s">
        <v>182</v>
      </c>
      <c r="I47" s="10" t="s">
        <v>239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229</v>
      </c>
      <c r="D48" s="9" t="s">
        <v>49</v>
      </c>
      <c r="E48" s="10" t="s">
        <v>99</v>
      </c>
      <c r="F48" s="7" t="s">
        <v>234</v>
      </c>
      <c r="G48" s="10" t="s">
        <v>124</v>
      </c>
      <c r="H48" s="9" t="s">
        <v>183</v>
      </c>
      <c r="I48" s="10" t="s">
        <v>239</v>
      </c>
      <c r="J48" s="9">
        <v>2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229</v>
      </c>
      <c r="D49" s="7" t="s">
        <v>50</v>
      </c>
      <c r="E49" s="8" t="s">
        <v>100</v>
      </c>
      <c r="F49" s="7" t="s">
        <v>125</v>
      </c>
      <c r="G49" s="8" t="s">
        <v>160</v>
      </c>
      <c r="H49" s="7" t="s">
        <v>184</v>
      </c>
      <c r="I49" s="10" t="s">
        <v>239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229</v>
      </c>
      <c r="D50" s="9" t="s">
        <v>51</v>
      </c>
      <c r="E50" s="10" t="s">
        <v>101</v>
      </c>
      <c r="F50" s="9" t="s">
        <v>233</v>
      </c>
      <c r="G50" s="9" t="s">
        <v>126</v>
      </c>
      <c r="H50" s="9" t="s">
        <v>240</v>
      </c>
      <c r="I50" s="10" t="s">
        <v>239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3" t="s">
        <v>229</v>
      </c>
      <c r="D51" s="7" t="s">
        <v>52</v>
      </c>
      <c r="E51" s="8" t="s">
        <v>102</v>
      </c>
      <c r="F51" s="7" t="s">
        <v>232</v>
      </c>
      <c r="G51" s="8" t="s">
        <v>127</v>
      </c>
      <c r="H51" s="7" t="s">
        <v>185</v>
      </c>
      <c r="I51" s="10" t="s">
        <v>239</v>
      </c>
      <c r="J51" s="7">
        <v>5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230</v>
      </c>
      <c r="D52" s="9" t="s">
        <v>53</v>
      </c>
      <c r="E52" s="10" t="s">
        <v>103</v>
      </c>
      <c r="F52" s="7" t="s">
        <v>232</v>
      </c>
      <c r="G52" s="10" t="s">
        <v>161</v>
      </c>
      <c r="H52" s="9" t="s">
        <v>186</v>
      </c>
      <c r="I52" s="10" t="s">
        <v>239</v>
      </c>
      <c r="J52" s="9">
        <v>1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231</v>
      </c>
      <c r="D53" s="7" t="s">
        <v>54</v>
      </c>
      <c r="E53" s="8" t="s">
        <v>104</v>
      </c>
      <c r="F53" s="7" t="s">
        <v>232</v>
      </c>
      <c r="G53" s="7" t="s">
        <v>128</v>
      </c>
      <c r="H53" s="7" t="s">
        <v>187</v>
      </c>
      <c r="I53" s="10" t="s">
        <v>239</v>
      </c>
      <c r="J53" s="7">
        <v>1</v>
      </c>
      <c r="K5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2025-10-08T11:05:56Z</dcterms:modified>
</cp:coreProperties>
</file>