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park\JohnWollam-MatrixProject\Deliverables\BOM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<sst xmlns="http://schemas.openxmlformats.org/spreadsheetml/2006/main" count="352" uniqueCount="276">
  <si>
    <t>#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</si>
  <si>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</si>
  <si>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</si>
  <si>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</si>
  <si>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</si>
  <si>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</si>
  <si>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</si>
  <si>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</si>
  <si>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LCSC MOQ/10</t>
  </si>
  <si>
    <t>C1, C23, C33, CF1</t>
  </si>
  <si>
    <t>CAP CER 10UF 10V X5R 0402</t>
  </si>
  <si>
    <t>Cap0402</t>
  </si>
  <si>
    <t>CL05A106MP8NUB8</t>
  </si>
  <si>
    <t>------</t>
  </si>
  <si>
    <t>Samsung</t>
  </si>
  <si>
    <t>C307415</t>
  </si>
  <si>
    <t>10uF</t>
  </si>
  <si>
    <t>C2, C8, C10, C12, C17, C32, CF4, CF5, CF8, CU1, CU2, CU3, CU4, CU8</t>
  </si>
  <si>
    <t>CAP CER 0.1UF 16V X5R 0402</t>
  </si>
  <si>
    <t>CC0402KRX5R7BB104</t>
  </si>
  <si>
    <t>Yageo</t>
  </si>
  <si>
    <t>C106204</t>
  </si>
  <si>
    <t>0.1uF</t>
  </si>
  <si>
    <t>C9, CS1, CF6, CF7</t>
  </si>
  <si>
    <t>CAP CER 22UF 25V X5R 0805</t>
  </si>
  <si>
    <t>Cap0805</t>
  </si>
  <si>
    <t>CL21A226MAQNNNE</t>
  </si>
  <si>
    <t>Murata</t>
  </si>
  <si>
    <t>C2922481</t>
  </si>
  <si>
    <t>22uF</t>
  </si>
  <si>
    <t>C11</t>
  </si>
  <si>
    <t>CAP ALUM POLY 180UF 20% 16V SMD</t>
  </si>
  <si>
    <t>Custom</t>
  </si>
  <si>
    <t>16SVPF180M</t>
  </si>
  <si>
    <t>-----</t>
  </si>
  <si>
    <t>Panasonic</t>
  </si>
  <si>
    <t>C136277</t>
  </si>
  <si>
    <t>180uF</t>
  </si>
  <si>
    <t>C13</t>
  </si>
  <si>
    <t>CAP CER 0.47UF 25V X5R 0402</t>
  </si>
  <si>
    <t>GRM155R61E474KE01D</t>
  </si>
  <si>
    <t>C437526</t>
  </si>
  <si>
    <t>470nF</t>
  </si>
  <si>
    <t>C14</t>
  </si>
  <si>
    <t>CAP CER 0.047UF 16V X5R 0201</t>
  </si>
  <si>
    <t>Cap 0201</t>
  </si>
  <si>
    <t>GRM033R61C473KE84D</t>
  </si>
  <si>
    <t>C88917</t>
  </si>
  <si>
    <t>47nF</t>
  </si>
  <si>
    <t>C15, C16</t>
  </si>
  <si>
    <t>CAP CER 47UF 25V X5R 1206</t>
  </si>
  <si>
    <t>Cap1206</t>
  </si>
  <si>
    <t>GRM31CR61E476ME44L</t>
  </si>
  <si>
    <t>C403725</t>
  </si>
  <si>
    <t>47uF</t>
  </si>
  <si>
    <t>C25, CU5</t>
  </si>
  <si>
    <t>CAP CER 4.7UF 25V X5R 0603</t>
  </si>
  <si>
    <t>Cap0603</t>
  </si>
  <si>
    <t>CL10A475KA8NQNC</t>
  </si>
  <si>
    <t>C69335</t>
  </si>
  <si>
    <t>4.7UF</t>
  </si>
  <si>
    <t>C34, C35</t>
  </si>
  <si>
    <t>CAP CER 47PF 50V C0G/NP0 0402</t>
  </si>
  <si>
    <t>GCM1555C1H470JA16D</t>
  </si>
  <si>
    <t>C126511</t>
  </si>
  <si>
    <t>47pF</t>
  </si>
  <si>
    <t>CF2, CF3</t>
  </si>
  <si>
    <t>CAP CER 10UF 25V X5R 0603</t>
  </si>
  <si>
    <t>TMK107BBJ106MA-T</t>
  </si>
  <si>
    <t>Taiyo Yuden</t>
  </si>
  <si>
    <t>C386081</t>
  </si>
  <si>
    <t>CU6</t>
  </si>
  <si>
    <t>CAP CER 1UF 25V X5R 0402</t>
  </si>
  <si>
    <t>GRM155R61E105KA12D</t>
  </si>
  <si>
    <t>C77009</t>
  </si>
  <si>
    <t>1uF</t>
  </si>
  <si>
    <t>CU7</t>
  </si>
  <si>
    <t>CAP CER 10000PF 25V X7R 0402</t>
  </si>
  <si>
    <t>CC0402KRX7R8BB103</t>
  </si>
  <si>
    <t>-------</t>
  </si>
  <si>
    <t>C327025</t>
  </si>
  <si>
    <t>10nF</t>
  </si>
  <si>
    <t>CU9, CU10</t>
  </si>
  <si>
    <t>CAP CER 20PF 25V C0H 0201</t>
  </si>
  <si>
    <t>CC0201JRNPO8BN200</t>
  </si>
  <si>
    <t>C541204</t>
  </si>
  <si>
    <t>20pF</t>
  </si>
  <si>
    <t>D1, D2</t>
  </si>
  <si>
    <t>DIODE SCHOTTKY 30V 1A SOD123W</t>
  </si>
  <si>
    <t>SOD123W</t>
  </si>
  <si>
    <t>PMEG6010ER,115</t>
  </si>
  <si>
    <t>NXP Semiconductors</t>
  </si>
  <si>
    <t>C456121</t>
  </si>
  <si>
    <t>F1</t>
  </si>
  <si>
    <t>PTC RESET FUSE 16V 2.5A 1812</t>
  </si>
  <si>
    <t>MF-MSMF250/16X-2</t>
  </si>
  <si>
    <t>Bourns</t>
  </si>
  <si>
    <t>C210838</t>
  </si>
  <si>
    <t>FB1</t>
  </si>
  <si>
    <t>FERRITE BEAD 120 OHM 0402 1LN</t>
  </si>
  <si>
    <t>IND 0402</t>
  </si>
  <si>
    <t>MMZ1005F121ET000</t>
  </si>
  <si>
    <t>TDK</t>
  </si>
  <si>
    <t>C89458</t>
  </si>
  <si>
    <t>J1, J2, J3, J4, J5, J7, J8</t>
  </si>
  <si>
    <t>Socket</t>
  </si>
  <si>
    <t>J6</t>
  </si>
  <si>
    <t>TERM BLK 12P SIDE ENT 5.08MM PCB</t>
  </si>
  <si>
    <t>DB128V-5.0-12P-GN-S</t>
  </si>
  <si>
    <t>Phoenix Contact</t>
  </si>
  <si>
    <t>C424688</t>
  </si>
  <si>
    <t>L1</t>
  </si>
  <si>
    <t>2.2uH ±20% 5.5A 29mΩ SMD,5.75x5.2x3mm Inductors (SMD) RoHS</t>
  </si>
  <si>
    <t>MS0530-2R2M</t>
  </si>
  <si>
    <t>COILMX</t>
  </si>
  <si>
    <t>C380163</t>
  </si>
  <si>
    <t>2.2uH</t>
  </si>
  <si>
    <t>LED1, LED2, LED3, LED4, LED5, LED6, LED7, LED8, LED9, LED10, LED11, LED12, LED13, LED14, LED15, LED16, LED17, LED18, LED19, LED20, LED21, LED22</t>
  </si>
  <si>
    <t>LED GREEN CLEAR CHIP 0603 SMD, LED GREEN CLEAR CHIP SMD</t>
  </si>
  <si>
    <t>LED 0603</t>
  </si>
  <si>
    <t>LTST-C190KGKT</t>
  </si>
  <si>
    <t>Vishay Lite-On</t>
  </si>
  <si>
    <t>C125094</t>
  </si>
  <si>
    <t>LF1</t>
  </si>
  <si>
    <t>FIXED IND 3.3UH 6A 30 MOHM SMD</t>
  </si>
  <si>
    <t>HCM0703-3R3-R</t>
  </si>
  <si>
    <t>Eaton Cooper</t>
  </si>
  <si>
    <t>3.3uH</t>
  </si>
  <si>
    <t>P2, P3</t>
  </si>
  <si>
    <t>CONN HEADER VERT 11POS 2.54MM</t>
  </si>
  <si>
    <t>Molex</t>
  </si>
  <si>
    <t>Q1</t>
  </si>
  <si>
    <t>P-Channel 30V Fast Switching MOSFET</t>
  </si>
  <si>
    <t>SOT-23</t>
  </si>
  <si>
    <t>QM3001K</t>
  </si>
  <si>
    <t>TY Semiconductor</t>
  </si>
  <si>
    <t>Q13, Q14, Q15, Q16, Q25, Q26, Q27, Q28, Q37, Q38, Q43, Q44, Q45, Q46, Q55, Q56, Q57, Q58, Q67, Q68</t>
  </si>
  <si>
    <t>MOSFET P-CH 20V 2.8A SOT-23</t>
  </si>
  <si>
    <t>SOT23-3</t>
  </si>
  <si>
    <t>PMV65XP,215</t>
  </si>
  <si>
    <t>Nexperia</t>
  </si>
  <si>
    <t>Q2 , Q17, Q18, Q19, Q20, Q21, Q22, Q23, Q24, Q29, Q30, Q31, Q32, Q33, Q34, Q35, Q36, Q39, Q40, Q41, Q42, Q47, Q48, Q49, Q50, Q51, Q52, Q53, Q54, Q59, Q60, Q61, Q62, Q63, Q64, Q65, Q66, Q69, Q70, Q71, Q72, Q73, Q74, Q75, Q76</t>
  </si>
  <si>
    <t>MOSFET N-CH 50V 200MA SOT-23</t>
  </si>
  <si>
    <t>BSS138LT1G</t>
  </si>
  <si>
    <t>ON Semiconductor</t>
  </si>
  <si>
    <t>C82045</t>
  </si>
  <si>
    <t xml:space="preserve">R1, R4, R59, R60, R61, R62, R63, R64, R65, R66, R71, R72, R73, R74, R75, R76, R77, R78, R83, R84, R85, R86, R90, R91, R92, R93, R94, R95, R96, R97, R102, R103, R104, R105, R106, R107, R108, R109, R114, R115, R116, R117, R120, R121, R122, R123 </t>
  </si>
  <si>
    <t>RES SMD 10K OHM 1% 1/16W 0402</t>
  </si>
  <si>
    <t>Res0402</t>
  </si>
  <si>
    <t>RC0402FR-0710KL</t>
  </si>
  <si>
    <t>Yageo Phycomp</t>
  </si>
  <si>
    <t>C60490</t>
  </si>
  <si>
    <t>10K</t>
  </si>
  <si>
    <t>R12, R19, R20, R25, R26, RF3</t>
  </si>
  <si>
    <t>RES 10K OHM 5% 1/10W 0402</t>
  </si>
  <si>
    <t>ERJ-2GEJ103X</t>
  </si>
  <si>
    <t>C278577</t>
  </si>
  <si>
    <t>R2</t>
  </si>
  <si>
    <t>RES SMD 33.2K OHM 1% 1/16W 0402</t>
  </si>
  <si>
    <t>RC0402FR-0733K2L</t>
  </si>
  <si>
    <t>C130276</t>
  </si>
  <si>
    <t>33.2K</t>
  </si>
  <si>
    <t>R5, R13, R14, R21, R22</t>
  </si>
  <si>
    <t>RES SMD 390 OHM 5% 1/10W 0603</t>
  </si>
  <si>
    <t>Res0603</t>
  </si>
  <si>
    <t>RC0603JR-07390RL</t>
  </si>
  <si>
    <t>C137632</t>
  </si>
  <si>
    <t>390R</t>
  </si>
  <si>
    <t>R6</t>
  </si>
  <si>
    <t>RES SMD 330K OHM 1% 1/16W 0402</t>
  </si>
  <si>
    <t>RC0402FR-07330KL</t>
  </si>
  <si>
    <t>C138006</t>
  </si>
  <si>
    <t>330K</t>
  </si>
  <si>
    <t>R7, R9</t>
  </si>
  <si>
    <t>RES SMD 220K OHM 1% 1/16W 0402</t>
  </si>
  <si>
    <t>RC0402FR-07220KL</t>
  </si>
  <si>
    <t>C138030</t>
  </si>
  <si>
    <t>220K</t>
  </si>
  <si>
    <t>R8</t>
  </si>
  <si>
    <t>RES SMD 100 OHM 1% 1/16W 0402</t>
  </si>
  <si>
    <t>RC0402FR-07100RL</t>
  </si>
  <si>
    <t>C2935235</t>
  </si>
  <si>
    <t>100R</t>
  </si>
  <si>
    <t>R10</t>
  </si>
  <si>
    <t>RES SMD 270K OHM 1% 1/16W 0402</t>
  </si>
  <si>
    <t>RC0402FR-07270KL</t>
  </si>
  <si>
    <t>C163475</t>
  </si>
  <si>
    <t>270K</t>
  </si>
  <si>
    <t>R11, R15, R18, R23, R24</t>
  </si>
  <si>
    <t>RES 240 OHM 1% 1/16W 0402</t>
  </si>
  <si>
    <t>RC0402FR-07240RL</t>
  </si>
  <si>
    <t>C114755</t>
  </si>
  <si>
    <t>240R</t>
  </si>
  <si>
    <t>R16, R17</t>
  </si>
  <si>
    <t>RES SMD 27 OHM 1% 1/16W 0402</t>
  </si>
  <si>
    <t>0402WGF270JTCE</t>
  </si>
  <si>
    <t>C25100</t>
  </si>
  <si>
    <t>27R</t>
  </si>
  <si>
    <t>R38, R46, R48, R50</t>
  </si>
  <si>
    <t>RES SMD 4.7K OHM 1% 1/16W 0402</t>
  </si>
  <si>
    <t>RC0402FR-074K7L</t>
  </si>
  <si>
    <t>C105871</t>
  </si>
  <si>
    <t>4.7K</t>
  </si>
  <si>
    <t>R67, R68, R69, R70, R79, R80, R81, R82, R87, R88, R98, R99, R100, R101, R110, R111, R112, R113, R118, R119</t>
  </si>
  <si>
    <t>RES SMD 330 OHM 1% 1/16W 0402</t>
  </si>
  <si>
    <t>RC0402FR-07330RL</t>
  </si>
  <si>
    <t>C105875</t>
  </si>
  <si>
    <t>330R</t>
  </si>
  <si>
    <t>RF2</t>
  </si>
  <si>
    <t>RES SMD 54.9K OHM 1% 1/16W 0402</t>
  </si>
  <si>
    <t>AC0402FR-0754K9L</t>
  </si>
  <si>
    <t>C227137</t>
  </si>
  <si>
    <t>54.9K</t>
  </si>
  <si>
    <t>RF10, RU1, RU2, RU3</t>
  </si>
  <si>
    <t>RES SMD 20K OHM 1% 1/16W 0402</t>
  </si>
  <si>
    <t>RC0402JR-0720KL</t>
  </si>
  <si>
    <t>C137902</t>
  </si>
  <si>
    <t>20K</t>
  </si>
  <si>
    <t>RP1, RP2, RP3, RP4, RP5, RP6, RP7, RP8, RP9, RP10, RP11, RP12, RP13, RP14, RP15, RP16, RP17, RP18, RP19, RP20, R3, R58</t>
  </si>
  <si>
    <t>RES SMD 1K OHM 1% 1/16W 0402</t>
  </si>
  <si>
    <t>0402WGF1001TCE</t>
  </si>
  <si>
    <t>C11702</t>
  </si>
  <si>
    <t>1K</t>
  </si>
  <si>
    <t>SW4</t>
  </si>
  <si>
    <t>SWITCH TACTILE SPST-NO 0.05A 12V</t>
  </si>
  <si>
    <t>B3U-1000P</t>
  </si>
  <si>
    <t>Omron</t>
  </si>
  <si>
    <t>C231329</t>
  </si>
  <si>
    <t>SW5</t>
  </si>
  <si>
    <t>2 Position SPDT Miniature Slide Switch 100MA 12V Through Hole, Right Angle</t>
  </si>
  <si>
    <t>OS102011MA1QN1</t>
  </si>
  <si>
    <t>ITT C&amp;K</t>
  </si>
  <si>
    <t>U1, U2</t>
  </si>
  <si>
    <t>IC REG BUCK ADJ 3A TSOT23-6</t>
  </si>
  <si>
    <t>TSOT23-6</t>
  </si>
  <si>
    <t>TPS563201DDCR</t>
  </si>
  <si>
    <t>Texas Instruments</t>
  </si>
  <si>
    <t>C116592</t>
  </si>
  <si>
    <t>U3</t>
  </si>
  <si>
    <t>TVS DIODE 5V 6.8V 6UDFN</t>
  </si>
  <si>
    <t>6UDFN</t>
  </si>
  <si>
    <t>SP3014-02UTG</t>
  </si>
  <si>
    <t>Littelfuse</t>
  </si>
  <si>
    <t>C207282</t>
  </si>
  <si>
    <t>U4</t>
  </si>
  <si>
    <t>IC MCU 32BIT 128KB FLASH 48LQFP</t>
  </si>
  <si>
    <t>48LQFP</t>
  </si>
  <si>
    <t>STM32F070CBT6TR</t>
  </si>
  <si>
    <t>STMicroelectronics</t>
  </si>
  <si>
    <t>U5, U6, U7, U8, U9</t>
  </si>
  <si>
    <t>TransistorOptocouplers DC 1 2500Vrms SOP-4_P1.27 Optocouplers RoHS</t>
  </si>
  <si>
    <t>SOP-4</t>
  </si>
  <si>
    <t>PS2801C-1-F3-A</t>
  </si>
  <si>
    <t>CEL</t>
  </si>
  <si>
    <t>C67112</t>
  </si>
  <si>
    <t>USB1</t>
  </si>
  <si>
    <t>CONN USB MICRO B RECPT SMT R/A</t>
  </si>
  <si>
    <t>10118192-0001LF</t>
  </si>
  <si>
    <t>Amphenol FCI</t>
  </si>
  <si>
    <t>C132564</t>
  </si>
  <si>
    <t>X1</t>
  </si>
  <si>
    <t>8MHz ±20ppm 20pF SMD,12.5x4.5mm SMD Crystal Resonators RoHS</t>
  </si>
  <si>
    <t>49MD-8.000-20-20-20/A</t>
  </si>
  <si>
    <t>Suzhou Liming Elec</t>
  </si>
  <si>
    <t>C240959</t>
  </si>
  <si>
    <t>8MHz</t>
  </si>
  <si>
    <t>Approved</t>
  </si>
  <si>
    <t>Notes</t>
  </si>
  <si>
    <t>LCSC Part No</t>
  </si>
  <si>
    <t>Component list</t>
  </si>
  <si>
    <t>Bill of Materials for Project [John_Main.PrjPcb] (No PCB Document Selected)</t>
  </si>
  <si>
    <t>Source Data From:</t>
  </si>
  <si>
    <t>John_Main.PrjPcb</t>
  </si>
  <si>
    <t>Project:</t>
  </si>
  <si>
    <t>Variant: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</si>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</sst>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h:mm:ss\ AM/PM;@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24"/>
      <color indexed="10"/>
      <name val="Arial"/>
      <family val="2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indexed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indexed="10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2" xfId="0" quotePrefix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2" xfId="0" quotePrefix="1" applyFont="1" applyFill="1" applyBorder="1" applyAlignment="1">
      <alignment horizontal="center" vertical="center" wrapText="1"/>
    </xf>
    <xf numFmtId="0" fontId="5" fillId="5" borderId="6" xfId="0" quotePrefix="1" applyFont="1" applyFill="1" applyBorder="1" applyAlignment="1">
      <alignment horizontal="center" vertical="center" wrapText="1"/>
    </xf>
    <xf numFmtId="0" fontId="5" fillId="2" borderId="6" xfId="0" quotePrefix="1" applyFont="1" applyFill="1" applyBorder="1" applyAlignment="1">
      <alignment horizontal="center" vertical="center" wrapText="1"/>
    </xf>
    <xf numFmtId="0" fontId="6" fillId="0" borderId="13" xfId="0" quotePrefix="1" applyFont="1" applyBorder="1" applyAlignment="1">
      <alignment horizontal="center" vertical="center"/>
    </xf>
    <xf numFmtId="0" fontId="6" fillId="5" borderId="6" xfId="0" quotePrefix="1" applyFont="1" applyFill="1" applyBorder="1" applyAlignment="1">
      <alignment horizontal="center" vertical="center" wrapText="1"/>
    </xf>
    <xf numFmtId="0" fontId="6" fillId="2" borderId="12" xfId="0" quotePrefix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  <protection locked="0"/>
    </xf>
    <xf numFmtId="0" fontId="2" fillId="3" borderId="3" xfId="0" applyNumberFormat="1" applyFont="1" applyFill="1" applyBorder="1" applyAlignment="1" applyProtection="1">
      <alignment vertical="center"/>
      <protection locked="0"/>
    </xf>
    <xf numFmtId="0" fontId="5" fillId="3" borderId="3" xfId="0" applyNumberFormat="1" applyFont="1" applyFill="1" applyBorder="1" applyAlignment="1" applyProtection="1">
      <alignment horizontal="left" vertical="center"/>
      <protection locked="0"/>
    </xf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/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18" xfId="0" quotePrefix="1" applyFont="1" applyFill="1" applyBorder="1" applyAlignment="1">
      <alignment horizontal="center" vertical="center" wrapText="1"/>
    </xf>
    <xf numFmtId="0" fontId="3" fillId="3" borderId="19" xfId="0" applyNumberFormat="1" applyFont="1" applyFill="1" applyBorder="1" applyAlignment="1" applyProtection="1">
      <alignment horizontal="center" vertical="top"/>
      <protection locked="0"/>
    </xf>
    <xf numFmtId="0" fontId="2" fillId="3" borderId="20" xfId="0" applyNumberFormat="1" applyFont="1" applyFill="1" applyBorder="1" applyAlignment="1" applyProtection="1">
      <alignment horizontal="left" vertical="top"/>
      <protection locked="0"/>
    </xf>
    <xf numFmtId="0" fontId="5" fillId="3" borderId="20" xfId="0" applyNumberFormat="1" applyFont="1" applyFill="1" applyBorder="1" applyAlignment="1" applyProtection="1">
      <alignment horizontal="left" vertical="top"/>
      <protection locked="0"/>
    </xf>
    <xf numFmtId="0" fontId="0" fillId="3" borderId="20" xfId="0" applyFont="1" applyFill="1" applyBorder="1"/>
    <xf numFmtId="0" fontId="0" fillId="3" borderId="21" xfId="0" applyFont="1" applyFill="1" applyBorder="1"/>
    <xf numFmtId="0" fontId="0" fillId="0" borderId="0" xfId="0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0" fillId="3" borderId="4" xfId="0" quotePrefix="1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/>
    </xf>
    <xf numFmtId="0" fontId="2" fillId="3" borderId="0" xfId="0" applyFont="1" applyFill="1" applyBorder="1" applyAlignment="1"/>
    <xf numFmtId="0" fontId="2" fillId="3" borderId="0" xfId="0" quotePrefix="1" applyFont="1" applyFill="1" applyBorder="1" applyAlignment="1">
      <alignment horizontal="left"/>
    </xf>
    <xf numFmtId="0" fontId="12" fillId="3" borderId="0" xfId="0" applyFont="1" applyFill="1" applyBorder="1" applyAlignment="1"/>
    <xf numFmtId="0" fontId="13" fillId="3" borderId="5" xfId="0" applyFont="1" applyFill="1" applyBorder="1" applyAlignment="1"/>
    <xf numFmtId="0" fontId="0" fillId="0" borderId="22" xfId="0" applyBorder="1" applyAlignment="1">
      <alignment horizontal="center"/>
    </xf>
    <xf numFmtId="0" fontId="2" fillId="3" borderId="6" xfId="0" quotePrefix="1" applyFont="1" applyFill="1" applyBorder="1" applyAlignment="1">
      <alignment horizontal="left"/>
    </xf>
    <xf numFmtId="0" fontId="3" fillId="3" borderId="6" xfId="0" applyFont="1" applyFill="1" applyBorder="1" applyAlignment="1"/>
    <xf numFmtId="0" fontId="13" fillId="3" borderId="6" xfId="0" applyFont="1" applyFill="1" applyBorder="1" applyAlignment="1"/>
    <xf numFmtId="0" fontId="0" fillId="0" borderId="23" xfId="0" applyBorder="1" applyAlignment="1">
      <alignment horizontal="center"/>
    </xf>
    <xf numFmtId="0" fontId="2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11" fillId="3" borderId="24" xfId="0" applyFont="1" applyFill="1" applyBorder="1" applyAlignment="1">
      <alignment horizontal="center"/>
    </xf>
    <xf numFmtId="0" fontId="2" fillId="3" borderId="5" xfId="0" applyFont="1" applyFill="1" applyBorder="1" applyAlignment="1"/>
    <xf numFmtId="0" fontId="3" fillId="3" borderId="5" xfId="0" applyFont="1" applyFill="1" applyBorder="1" applyAlignment="1">
      <alignment horizontal="left"/>
    </xf>
    <xf numFmtId="0" fontId="14" fillId="3" borderId="26" xfId="0" applyFont="1" applyFill="1" applyBorder="1" applyAlignment="1">
      <alignment horizontal="center"/>
    </xf>
    <xf numFmtId="0" fontId="15" fillId="3" borderId="0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7" fillId="3" borderId="24" xfId="0" applyFont="1" applyFill="1" applyBorder="1" applyAlignment="1">
      <alignment horizontal="center"/>
    </xf>
    <xf numFmtId="0" fontId="3" fillId="3" borderId="0" xfId="0" applyFont="1" applyFill="1" applyBorder="1" applyAlignment="1"/>
    <xf numFmtId="165" fontId="3" fillId="3" borderId="0" xfId="0" applyNumberFormat="1" applyFont="1" applyFill="1" applyBorder="1" applyAlignment="1">
      <alignment horizontal="left"/>
    </xf>
    <xf numFmtId="0" fontId="13" fillId="3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247650</xdr:colOff>
      <xdr:row>0</xdr:row>
      <xdr:rowOff>161925</xdr:rowOff>
    </xdr:from>
    <xdr:ext cx="2202759" cy="1627487"/>
    <xdr:pic>
      <xdr:nvPicPr>
        <xdr:cNvPr id="3" name="Picture 2">
          <a:extLst>
            <a:ext uri="{FF2B5EF4-FFF2-40B4-BE49-F238E27FC236}">
              <a16:creationId xmlns:a16="http://schemas.microsoft.com/office/drawing/2014/main" id="{5F68CEB6-16CA-4B2E-B3B8-8BAF5AC0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821650" y="161925"/>
          <a:ext cx="2202759" cy="16274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tabSelected="1" workbookViewId="0">
      <selection activeCell="R19" sqref="R19"/>
    </sheetView>
  </sheetViews>
  <sheetFormatPr defaultRowHeight="15" x14ac:dyDescent="0.25"/>
  <cols>
    <col min="1" max="1" width="8.85546875" style="47" customWidth="1"/>
    <col min="2" max="2" width="8.140625" customWidth="1"/>
    <col min="3" max="3" width="39.28515625" customWidth="1"/>
    <col min="4" max="4" width="39.5703125" customWidth="1"/>
    <col min="5" max="5" width="23" customWidth="1"/>
    <col min="6" max="6" width="29.28515625" customWidth="1"/>
    <col min="7" max="7" width="18.85546875" customWidth="1"/>
    <col min="8" max="8" width="19.140625" customWidth="1"/>
    <col min="9" max="9" width="15.7109375" customWidth="1"/>
    <col min="10" max="10" width="25.140625" customWidth="1"/>
    <col min="11" max="11" width="26.7109375" customWidth="1"/>
  </cols>
  <sheetData>
    <row r="1" spans="1:21" ht="16.5" thickBot="1" x14ac:dyDescent="0.3">
      <c r="A1" s="49"/>
      <c r="B1" s="50"/>
      <c r="C1" s="50"/>
      <c r="D1" s="50"/>
      <c r="E1" s="50"/>
      <c r="F1" s="50"/>
      <c r="G1" s="50"/>
      <c r="H1" s="50"/>
      <c r="I1" s="50"/>
      <c r="J1" s="50"/>
    </row>
    <row r="2" spans="1:21" ht="32.25" thickBot="1" x14ac:dyDescent="0.3">
      <c r="A2" s="51"/>
      <c r="B2" s="52"/>
      <c r="C2" s="53" t="s">
        <v>269</v>
      </c>
      <c r="D2" s="53"/>
      <c r="E2" s="54" t="s">
        <v>270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6"/>
      <c r="U2" s="57"/>
    </row>
    <row r="3" spans="1:21" x14ac:dyDescent="0.25">
      <c r="A3" s="51"/>
      <c r="B3" s="58"/>
      <c r="C3" s="59" t="s">
        <v>271</v>
      </c>
      <c r="D3" s="59"/>
      <c r="E3" s="60" t="s">
        <v>272</v>
      </c>
      <c r="F3" s="59"/>
      <c r="G3" s="59"/>
      <c r="H3" s="61"/>
      <c r="I3" s="61"/>
      <c r="J3" s="61"/>
      <c r="K3" s="62"/>
      <c r="L3" s="62"/>
      <c r="M3" s="62"/>
      <c r="N3" s="62"/>
      <c r="O3" s="62"/>
      <c r="P3" s="62"/>
      <c r="Q3" s="62"/>
      <c r="R3" s="62"/>
      <c r="S3" s="62"/>
      <c r="T3" s="62"/>
      <c r="U3" s="63"/>
    </row>
    <row r="4" spans="1:21" x14ac:dyDescent="0.25">
      <c r="A4" s="51"/>
      <c r="B4" s="58"/>
      <c r="C4" s="59" t="s">
        <v>273</v>
      </c>
      <c r="D4" s="59"/>
      <c r="E4" s="64" t="s">
        <v>272</v>
      </c>
      <c r="F4" s="65"/>
      <c r="G4" s="65"/>
      <c r="H4" s="66"/>
      <c r="I4" s="66"/>
      <c r="J4" s="66"/>
      <c r="K4" s="62"/>
      <c r="L4" s="62"/>
      <c r="M4" s="62"/>
      <c r="N4" s="62"/>
      <c r="O4" s="62"/>
      <c r="P4" s="62"/>
      <c r="Q4" s="62"/>
      <c r="R4" s="62"/>
      <c r="S4" s="62"/>
      <c r="T4" s="62"/>
      <c r="U4" s="67"/>
    </row>
    <row r="5" spans="1:21" x14ac:dyDescent="0.25">
      <c r="A5" s="51"/>
      <c r="B5" s="58"/>
      <c r="C5" s="59" t="s">
        <v>274</v>
      </c>
      <c r="D5" s="59"/>
      <c r="E5" s="68" t="s">
        <v>275</v>
      </c>
      <c r="F5" s="69"/>
      <c r="G5" s="69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7"/>
    </row>
    <row r="6" spans="1:21" x14ac:dyDescent="0.25">
      <c r="A6" s="51"/>
      <c r="B6" s="70"/>
      <c r="C6" s="71"/>
      <c r="D6" s="71"/>
      <c r="E6" s="72"/>
      <c r="F6" s="69"/>
      <c r="G6" s="69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7"/>
    </row>
    <row r="7" spans="1:21" x14ac:dyDescent="0.25">
      <c r="A7" s="51"/>
      <c r="B7" s="73"/>
      <c r="C7" s="74"/>
      <c r="D7" s="74"/>
      <c r="E7" s="75"/>
      <c r="F7" s="74"/>
      <c r="G7" s="74"/>
      <c r="H7" s="76"/>
      <c r="I7" s="76"/>
      <c r="J7" s="76"/>
      <c r="K7" s="62"/>
      <c r="L7" s="62"/>
      <c r="M7" s="62"/>
      <c r="N7" s="62"/>
      <c r="O7" s="62"/>
      <c r="P7" s="62"/>
      <c r="Q7" s="62"/>
      <c r="R7" s="62"/>
      <c r="S7" s="62"/>
      <c r="T7" s="62"/>
      <c r="U7" s="67"/>
    </row>
    <row r="8" spans="1:21" ht="15.75" thickBot="1" x14ac:dyDescent="0.3">
      <c r="A8" s="51"/>
      <c r="B8" s="77"/>
      <c r="C8" s="78"/>
      <c r="D8" s="78"/>
      <c r="E8" s="79"/>
      <c r="F8" s="74"/>
      <c r="G8" s="74"/>
      <c r="H8" s="76"/>
      <c r="I8" s="76"/>
      <c r="J8" s="76"/>
      <c r="K8" s="80"/>
      <c r="L8" s="80"/>
      <c r="M8" s="80"/>
      <c r="N8" s="80"/>
      <c r="O8" s="80"/>
      <c r="P8" s="80"/>
      <c r="Q8" s="80"/>
      <c r="R8" s="80"/>
      <c r="S8" s="80"/>
      <c r="T8" s="80"/>
      <c r="U8" s="67"/>
    </row>
    <row r="9" spans="1:21" ht="15.75" thickBot="1" x14ac:dyDescent="0.3">
      <c r="A9" s="51"/>
      <c r="B9" s="1" t="s">
        <v>0</v>
      </c>
      <c r="C9" s="2" t="s">
        <v>1</v>
      </c>
      <c r="D9" s="2" t="s">
        <v>2</v>
      </c>
      <c r="E9" s="2" t="s">
        <v>3</v>
      </c>
      <c r="F9" s="48" t="s">
        <v>4</v>
      </c>
      <c r="G9" s="3" t="s">
        <v>5</v>
      </c>
      <c r="H9" s="2" t="s">
        <v>268</v>
      </c>
      <c r="I9" s="3" t="s">
        <v>6</v>
      </c>
      <c r="J9" s="2" t="s">
        <v>7</v>
      </c>
      <c r="K9" s="4" t="s">
        <v>8</v>
      </c>
    </row>
    <row r="10" spans="1:21" x14ac:dyDescent="0.25">
      <c r="A10" s="51"/>
      <c r="B10" s="5">
        <f>ROW(B10) - ROW($B$9)</f>
        <v>1</v>
      </c>
      <c r="C10" s="6" t="s">
        <v>9</v>
      </c>
      <c r="D10" s="6" t="s">
        <v>10</v>
      </c>
      <c r="E10" s="6" t="s">
        <v>11</v>
      </c>
      <c r="F10" s="6" t="s">
        <v>12</v>
      </c>
      <c r="G10" s="7" t="s">
        <v>14</v>
      </c>
      <c r="H10" s="6" t="s">
        <v>15</v>
      </c>
      <c r="I10" s="7" t="s">
        <v>16</v>
      </c>
      <c r="J10" s="8">
        <v>4</v>
      </c>
      <c r="K10" s="9">
        <v>45</v>
      </c>
    </row>
    <row r="11" spans="1:21" ht="25.5" x14ac:dyDescent="0.25">
      <c r="A11" s="51"/>
      <c r="B11" s="5">
        <f>ROW(B11) - ROW($B$9)</f>
        <v>2</v>
      </c>
      <c r="C11" s="10" t="s">
        <v>17</v>
      </c>
      <c r="D11" s="10" t="s">
        <v>18</v>
      </c>
      <c r="E11" s="10" t="s">
        <v>11</v>
      </c>
      <c r="F11" s="10" t="s">
        <v>19</v>
      </c>
      <c r="G11" s="11" t="s">
        <v>20</v>
      </c>
      <c r="H11" s="10" t="s">
        <v>21</v>
      </c>
      <c r="I11" s="11" t="s">
        <v>22</v>
      </c>
      <c r="J11" s="12">
        <v>14</v>
      </c>
      <c r="K11" s="13">
        <v>200</v>
      </c>
    </row>
    <row r="12" spans="1:21" x14ac:dyDescent="0.25">
      <c r="A12" s="51"/>
      <c r="B12" s="5">
        <f>ROW(B12) - ROW($B$9)</f>
        <v>3</v>
      </c>
      <c r="C12" s="14" t="s">
        <v>23</v>
      </c>
      <c r="D12" s="14" t="s">
        <v>24</v>
      </c>
      <c r="E12" s="14" t="s">
        <v>25</v>
      </c>
      <c r="F12" s="14" t="s">
        <v>26</v>
      </c>
      <c r="G12" s="15" t="s">
        <v>27</v>
      </c>
      <c r="H12" s="14" t="s">
        <v>28</v>
      </c>
      <c r="I12" s="15" t="s">
        <v>29</v>
      </c>
      <c r="J12" s="16">
        <v>2</v>
      </c>
      <c r="K12" s="17">
        <v>40</v>
      </c>
    </row>
    <row r="13" spans="1:21" x14ac:dyDescent="0.25">
      <c r="A13" s="51"/>
      <c r="B13" s="5">
        <f>ROW(B13) - ROW($B$9)</f>
        <v>4</v>
      </c>
      <c r="C13" s="18" t="s">
        <v>30</v>
      </c>
      <c r="D13" s="18" t="s">
        <v>31</v>
      </c>
      <c r="E13" s="18" t="s">
        <v>32</v>
      </c>
      <c r="F13" s="18" t="s">
        <v>33</v>
      </c>
      <c r="G13" s="19" t="s">
        <v>35</v>
      </c>
      <c r="H13" s="18" t="s">
        <v>36</v>
      </c>
      <c r="I13" s="19" t="s">
        <v>37</v>
      </c>
      <c r="J13" s="12">
        <v>1</v>
      </c>
      <c r="K13" s="13">
        <v>12</v>
      </c>
    </row>
    <row r="14" spans="1:21" x14ac:dyDescent="0.25">
      <c r="A14" s="51"/>
      <c r="B14" s="5">
        <f>ROW(B14) - ROW($B$9)</f>
        <v>5</v>
      </c>
      <c r="C14" s="21" t="s">
        <v>38</v>
      </c>
      <c r="D14" s="21" t="s">
        <v>39</v>
      </c>
      <c r="E14" s="21" t="s">
        <v>11</v>
      </c>
      <c r="F14" s="21" t="s">
        <v>40</v>
      </c>
      <c r="G14" s="22" t="s">
        <v>27</v>
      </c>
      <c r="H14" s="21" t="s">
        <v>41</v>
      </c>
      <c r="I14" s="22" t="s">
        <v>42</v>
      </c>
      <c r="J14" s="16">
        <v>1</v>
      </c>
      <c r="K14" s="17">
        <v>50</v>
      </c>
    </row>
    <row r="15" spans="1:21" x14ac:dyDescent="0.25">
      <c r="A15" s="51"/>
      <c r="B15" s="5">
        <f>ROW(B15) - ROW($B$9)</f>
        <v>6</v>
      </c>
      <c r="C15" s="18" t="s">
        <v>43</v>
      </c>
      <c r="D15" s="18" t="s">
        <v>44</v>
      </c>
      <c r="E15" s="18" t="s">
        <v>45</v>
      </c>
      <c r="F15" s="18" t="s">
        <v>46</v>
      </c>
      <c r="G15" s="19" t="s">
        <v>27</v>
      </c>
      <c r="H15" s="18" t="s">
        <v>47</v>
      </c>
      <c r="I15" s="19" t="s">
        <v>48</v>
      </c>
      <c r="J15" s="12">
        <v>1</v>
      </c>
      <c r="K15" s="13">
        <v>50</v>
      </c>
    </row>
    <row r="16" spans="1:21" x14ac:dyDescent="0.25">
      <c r="A16" s="51"/>
      <c r="B16" s="5">
        <f>ROW(B16) - ROW($B$9)</f>
        <v>7</v>
      </c>
      <c r="C16" s="21" t="s">
        <v>49</v>
      </c>
      <c r="D16" s="21" t="s">
        <v>50</v>
      </c>
      <c r="E16" s="21" t="s">
        <v>51</v>
      </c>
      <c r="F16" s="21" t="s">
        <v>52</v>
      </c>
      <c r="G16" s="22" t="s">
        <v>27</v>
      </c>
      <c r="H16" s="21" t="s">
        <v>53</v>
      </c>
      <c r="I16" s="22" t="s">
        <v>54</v>
      </c>
      <c r="J16" s="16">
        <v>2</v>
      </c>
      <c r="K16" s="17">
        <v>25</v>
      </c>
    </row>
    <row r="17" spans="1:11" x14ac:dyDescent="0.25">
      <c r="A17" s="51"/>
      <c r="B17" s="5">
        <f>ROW(B17) - ROW($B$9)</f>
        <v>8</v>
      </c>
      <c r="C17" s="18" t="s">
        <v>55</v>
      </c>
      <c r="D17" s="18" t="s">
        <v>56</v>
      </c>
      <c r="E17" s="18" t="s">
        <v>57</v>
      </c>
      <c r="F17" s="18" t="s">
        <v>58</v>
      </c>
      <c r="G17" s="19" t="s">
        <v>14</v>
      </c>
      <c r="H17" s="18" t="s">
        <v>59</v>
      </c>
      <c r="I17" s="19" t="s">
        <v>60</v>
      </c>
      <c r="J17" s="12">
        <v>2</v>
      </c>
      <c r="K17" s="13">
        <v>40</v>
      </c>
    </row>
    <row r="18" spans="1:11" x14ac:dyDescent="0.25">
      <c r="A18" s="51"/>
      <c r="B18" s="5">
        <f>ROW(B18) - ROW($B$9)</f>
        <v>9</v>
      </c>
      <c r="C18" s="21" t="s">
        <v>61</v>
      </c>
      <c r="D18" s="21" t="s">
        <v>62</v>
      </c>
      <c r="E18" s="21" t="s">
        <v>11</v>
      </c>
      <c r="F18" s="21" t="s">
        <v>63</v>
      </c>
      <c r="G18" s="22" t="s">
        <v>27</v>
      </c>
      <c r="H18" s="21" t="s">
        <v>64</v>
      </c>
      <c r="I18" s="22" t="s">
        <v>65</v>
      </c>
      <c r="J18" s="16">
        <v>2</v>
      </c>
      <c r="K18" s="17">
        <v>50</v>
      </c>
    </row>
    <row r="19" spans="1:11" x14ac:dyDescent="0.25">
      <c r="A19" s="51"/>
      <c r="B19" s="5">
        <f>ROW(B19) - ROW($B$9)</f>
        <v>10</v>
      </c>
      <c r="C19" s="18" t="s">
        <v>66</v>
      </c>
      <c r="D19" s="18" t="s">
        <v>67</v>
      </c>
      <c r="E19" s="18" t="s">
        <v>57</v>
      </c>
      <c r="F19" s="18" t="s">
        <v>68</v>
      </c>
      <c r="G19" s="19" t="s">
        <v>69</v>
      </c>
      <c r="H19" s="18" t="s">
        <v>70</v>
      </c>
      <c r="I19" s="19" t="s">
        <v>16</v>
      </c>
      <c r="J19" s="12">
        <v>2</v>
      </c>
      <c r="K19" s="13">
        <v>40</v>
      </c>
    </row>
    <row r="20" spans="1:11" x14ac:dyDescent="0.25">
      <c r="A20" s="51"/>
      <c r="B20" s="5">
        <f>ROW(B20) - ROW($B$9)</f>
        <v>11</v>
      </c>
      <c r="C20" s="21" t="s">
        <v>71</v>
      </c>
      <c r="D20" s="21" t="s">
        <v>72</v>
      </c>
      <c r="E20" s="21" t="s">
        <v>11</v>
      </c>
      <c r="F20" s="21" t="s">
        <v>73</v>
      </c>
      <c r="G20" s="22" t="s">
        <v>27</v>
      </c>
      <c r="H20" s="21" t="s">
        <v>74</v>
      </c>
      <c r="I20" s="22" t="s">
        <v>75</v>
      </c>
      <c r="J20" s="16">
        <v>1</v>
      </c>
      <c r="K20" s="17">
        <v>50</v>
      </c>
    </row>
    <row r="21" spans="1:11" x14ac:dyDescent="0.25">
      <c r="A21" s="51"/>
      <c r="B21" s="5">
        <f>ROW(B21) - ROW($B$9)</f>
        <v>12</v>
      </c>
      <c r="C21" s="18" t="s">
        <v>76</v>
      </c>
      <c r="D21" s="18" t="s">
        <v>77</v>
      </c>
      <c r="E21" s="18" t="s">
        <v>11</v>
      </c>
      <c r="F21" s="18" t="s">
        <v>78</v>
      </c>
      <c r="G21" s="19" t="s">
        <v>20</v>
      </c>
      <c r="H21" s="18" t="s">
        <v>80</v>
      </c>
      <c r="I21" s="19" t="s">
        <v>81</v>
      </c>
      <c r="J21" s="12">
        <v>1</v>
      </c>
      <c r="K21" s="13">
        <v>100</v>
      </c>
    </row>
    <row r="22" spans="1:11" x14ac:dyDescent="0.25">
      <c r="A22" s="51"/>
      <c r="B22" s="5">
        <f>ROW(B22) - ROW($B$9)</f>
        <v>13</v>
      </c>
      <c r="C22" s="21" t="s">
        <v>82</v>
      </c>
      <c r="D22" s="21" t="s">
        <v>83</v>
      </c>
      <c r="E22" s="21" t="s">
        <v>45</v>
      </c>
      <c r="F22" s="21" t="s">
        <v>84</v>
      </c>
      <c r="G22" s="22" t="s">
        <v>27</v>
      </c>
      <c r="H22" s="21" t="s">
        <v>85</v>
      </c>
      <c r="I22" s="22" t="s">
        <v>86</v>
      </c>
      <c r="J22" s="16">
        <v>2</v>
      </c>
      <c r="K22" s="17">
        <v>100</v>
      </c>
    </row>
    <row r="23" spans="1:11" x14ac:dyDescent="0.25">
      <c r="A23" s="51"/>
      <c r="B23" s="5">
        <f>ROW(B23) - ROW($B$9)</f>
        <v>14</v>
      </c>
      <c r="C23" s="18" t="s">
        <v>87</v>
      </c>
      <c r="D23" s="18" t="s">
        <v>88</v>
      </c>
      <c r="E23" s="18" t="s">
        <v>89</v>
      </c>
      <c r="F23" s="18" t="s">
        <v>90</v>
      </c>
      <c r="G23" s="19" t="s">
        <v>91</v>
      </c>
      <c r="H23" s="18" t="s">
        <v>92</v>
      </c>
      <c r="I23" s="24" t="s">
        <v>79</v>
      </c>
      <c r="J23" s="12">
        <v>2</v>
      </c>
      <c r="K23" s="13">
        <v>22</v>
      </c>
    </row>
    <row r="24" spans="1:11" x14ac:dyDescent="0.25">
      <c r="A24" s="51"/>
      <c r="B24" s="5">
        <f>ROW(B24) - ROW($B$9)</f>
        <v>15</v>
      </c>
      <c r="C24" s="21" t="s">
        <v>93</v>
      </c>
      <c r="D24" s="21" t="s">
        <v>94</v>
      </c>
      <c r="E24" s="21">
        <v>1812</v>
      </c>
      <c r="F24" s="21" t="s">
        <v>95</v>
      </c>
      <c r="G24" s="22" t="s">
        <v>96</v>
      </c>
      <c r="H24" s="21" t="s">
        <v>97</v>
      </c>
      <c r="I24" s="25" t="s">
        <v>79</v>
      </c>
      <c r="J24" s="16">
        <v>1</v>
      </c>
      <c r="K24" s="17">
        <v>12</v>
      </c>
    </row>
    <row r="25" spans="1:11" x14ac:dyDescent="0.25">
      <c r="A25" s="51"/>
      <c r="B25" s="5">
        <f>ROW(B25) - ROW($B$9)</f>
        <v>16</v>
      </c>
      <c r="C25" s="18" t="s">
        <v>98</v>
      </c>
      <c r="D25" s="18" t="s">
        <v>99</v>
      </c>
      <c r="E25" s="18" t="s">
        <v>100</v>
      </c>
      <c r="F25" s="18" t="s">
        <v>101</v>
      </c>
      <c r="G25" s="19" t="s">
        <v>102</v>
      </c>
      <c r="H25" s="18" t="s">
        <v>103</v>
      </c>
      <c r="I25" s="24" t="s">
        <v>34</v>
      </c>
      <c r="J25" s="12">
        <v>1</v>
      </c>
      <c r="K25" s="13">
        <v>20</v>
      </c>
    </row>
    <row r="26" spans="1:11" x14ac:dyDescent="0.25">
      <c r="A26" s="51"/>
      <c r="B26" s="5">
        <f>ROW(B26) - ROW($B$9)</f>
        <v>17</v>
      </c>
      <c r="C26" s="21" t="s">
        <v>104</v>
      </c>
      <c r="D26" s="21" t="s">
        <v>105</v>
      </c>
      <c r="E26" s="21" t="s">
        <v>32</v>
      </c>
      <c r="F26" s="21" t="s">
        <v>105</v>
      </c>
      <c r="G26" s="25" t="s">
        <v>13</v>
      </c>
      <c r="H26" s="23" t="s">
        <v>13</v>
      </c>
      <c r="I26" s="25" t="s">
        <v>79</v>
      </c>
      <c r="J26" s="16">
        <v>7</v>
      </c>
      <c r="K26" s="26" t="s">
        <v>13</v>
      </c>
    </row>
    <row r="27" spans="1:11" x14ac:dyDescent="0.25">
      <c r="A27" s="51"/>
      <c r="B27" s="5">
        <f>ROW(B27) - ROW($B$9)</f>
        <v>18</v>
      </c>
      <c r="C27" s="18" t="s">
        <v>106</v>
      </c>
      <c r="D27" s="18" t="s">
        <v>107</v>
      </c>
      <c r="E27" s="18" t="s">
        <v>32</v>
      </c>
      <c r="F27" s="18" t="s">
        <v>108</v>
      </c>
      <c r="G27" s="19" t="s">
        <v>109</v>
      </c>
      <c r="H27" s="18" t="s">
        <v>110</v>
      </c>
      <c r="I27" s="24" t="s">
        <v>34</v>
      </c>
      <c r="J27" s="12">
        <v>1</v>
      </c>
      <c r="K27" s="13">
        <v>12</v>
      </c>
    </row>
    <row r="28" spans="1:11" ht="25.5" x14ac:dyDescent="0.25">
      <c r="A28" s="51"/>
      <c r="B28" s="5">
        <f>ROW(B28) - ROW($B$9)</f>
        <v>19</v>
      </c>
      <c r="C28" s="21" t="s">
        <v>111</v>
      </c>
      <c r="D28" s="21" t="s">
        <v>112</v>
      </c>
      <c r="E28" s="21" t="s">
        <v>32</v>
      </c>
      <c r="F28" s="21" t="s">
        <v>113</v>
      </c>
      <c r="G28" s="22" t="s">
        <v>114</v>
      </c>
      <c r="H28" s="21" t="s">
        <v>115</v>
      </c>
      <c r="I28" s="25" t="s">
        <v>116</v>
      </c>
      <c r="J28" s="16">
        <v>1</v>
      </c>
      <c r="K28" s="17">
        <v>12</v>
      </c>
    </row>
    <row r="29" spans="1:11" ht="51" x14ac:dyDescent="0.25">
      <c r="A29" s="51"/>
      <c r="B29" s="5">
        <f>ROW(B29) - ROW($B$9)</f>
        <v>20</v>
      </c>
      <c r="C29" s="18" t="s">
        <v>117</v>
      </c>
      <c r="D29" s="18" t="s">
        <v>118</v>
      </c>
      <c r="E29" s="18" t="s">
        <v>119</v>
      </c>
      <c r="F29" s="18" t="s">
        <v>120</v>
      </c>
      <c r="G29" s="19" t="s">
        <v>121</v>
      </c>
      <c r="H29" s="18" t="s">
        <v>122</v>
      </c>
      <c r="I29" s="24" t="s">
        <v>13</v>
      </c>
      <c r="J29" s="12">
        <v>22</v>
      </c>
      <c r="K29" s="13">
        <v>240</v>
      </c>
    </row>
    <row r="30" spans="1:11" x14ac:dyDescent="0.25">
      <c r="A30" s="51"/>
      <c r="B30" s="5">
        <f>ROW(B30) - ROW($B$9)</f>
        <v>21</v>
      </c>
      <c r="C30" s="21" t="s">
        <v>123</v>
      </c>
      <c r="D30" s="21" t="s">
        <v>124</v>
      </c>
      <c r="E30" s="21" t="s">
        <v>32</v>
      </c>
      <c r="F30" s="21" t="s">
        <v>125</v>
      </c>
      <c r="G30" s="22" t="s">
        <v>126</v>
      </c>
      <c r="H30" s="21"/>
      <c r="I30" s="22" t="s">
        <v>127</v>
      </c>
      <c r="J30" s="16">
        <v>1</v>
      </c>
      <c r="K30" s="17">
        <v>20</v>
      </c>
    </row>
    <row r="31" spans="1:11" x14ac:dyDescent="0.25">
      <c r="A31" s="51"/>
      <c r="B31" s="5">
        <f>ROW(B31) - ROW($B$9)</f>
        <v>22</v>
      </c>
      <c r="C31" s="18" t="s">
        <v>128</v>
      </c>
      <c r="D31" s="18" t="s">
        <v>129</v>
      </c>
      <c r="E31" s="18" t="s">
        <v>32</v>
      </c>
      <c r="F31" s="18">
        <v>22232111</v>
      </c>
      <c r="G31" s="19" t="s">
        <v>130</v>
      </c>
      <c r="H31" s="18"/>
      <c r="I31" s="19"/>
      <c r="J31" s="12">
        <v>2</v>
      </c>
      <c r="K31" s="13">
        <v>22</v>
      </c>
    </row>
    <row r="32" spans="1:11" x14ac:dyDescent="0.25">
      <c r="A32" s="51"/>
      <c r="B32" s="5">
        <f>ROW(B32) - ROW($B$9)</f>
        <v>23</v>
      </c>
      <c r="C32" s="21" t="s">
        <v>131</v>
      </c>
      <c r="D32" s="21" t="s">
        <v>132</v>
      </c>
      <c r="E32" s="21" t="s">
        <v>133</v>
      </c>
      <c r="F32" s="21" t="s">
        <v>134</v>
      </c>
      <c r="G32" s="22" t="s">
        <v>135</v>
      </c>
      <c r="H32" s="23" t="s">
        <v>13</v>
      </c>
      <c r="I32" s="25" t="s">
        <v>13</v>
      </c>
      <c r="J32" s="16">
        <v>1</v>
      </c>
      <c r="K32" s="17">
        <v>275</v>
      </c>
    </row>
    <row r="33" spans="1:11" ht="38.25" x14ac:dyDescent="0.25">
      <c r="A33" s="51"/>
      <c r="B33" s="5">
        <f>ROW(B33) - ROW($B$9)</f>
        <v>24</v>
      </c>
      <c r="C33" s="21" t="s">
        <v>136</v>
      </c>
      <c r="D33" s="21" t="s">
        <v>137</v>
      </c>
      <c r="E33" s="21" t="s">
        <v>138</v>
      </c>
      <c r="F33" s="21" t="s">
        <v>139</v>
      </c>
      <c r="G33" s="22" t="s">
        <v>140</v>
      </c>
      <c r="H33" s="23" t="s">
        <v>34</v>
      </c>
      <c r="I33" s="25" t="s">
        <v>79</v>
      </c>
      <c r="J33" s="16">
        <v>20</v>
      </c>
      <c r="K33" s="17">
        <v>500</v>
      </c>
    </row>
    <row r="34" spans="1:11" ht="63.75" x14ac:dyDescent="0.25">
      <c r="A34" s="51"/>
      <c r="B34" s="5">
        <f>ROW(B34) - ROW($B$9)</f>
        <v>25</v>
      </c>
      <c r="C34" s="10" t="s">
        <v>141</v>
      </c>
      <c r="D34" s="10" t="s">
        <v>142</v>
      </c>
      <c r="E34" s="10" t="s">
        <v>138</v>
      </c>
      <c r="F34" s="10" t="s">
        <v>143</v>
      </c>
      <c r="G34" s="11" t="s">
        <v>144</v>
      </c>
      <c r="H34" s="10" t="s">
        <v>145</v>
      </c>
      <c r="I34" s="27" t="s">
        <v>13</v>
      </c>
      <c r="J34" s="12">
        <v>45</v>
      </c>
      <c r="K34" s="13">
        <v>500</v>
      </c>
    </row>
    <row r="35" spans="1:11" ht="76.5" x14ac:dyDescent="0.25">
      <c r="A35" s="51"/>
      <c r="B35" s="5">
        <f>ROW(B35) - ROW($B$9)</f>
        <v>26</v>
      </c>
      <c r="C35" s="14" t="s">
        <v>146</v>
      </c>
      <c r="D35" s="14" t="s">
        <v>147</v>
      </c>
      <c r="E35" s="14" t="s">
        <v>148</v>
      </c>
      <c r="F35" s="14" t="s">
        <v>149</v>
      </c>
      <c r="G35" s="15" t="s">
        <v>150</v>
      </c>
      <c r="H35" s="14" t="s">
        <v>151</v>
      </c>
      <c r="I35" s="15" t="s">
        <v>152</v>
      </c>
      <c r="J35" s="16">
        <v>46</v>
      </c>
      <c r="K35" s="17">
        <v>500</v>
      </c>
    </row>
    <row r="36" spans="1:11" x14ac:dyDescent="0.25">
      <c r="A36" s="51"/>
      <c r="B36" s="5">
        <v>27</v>
      </c>
      <c r="C36" s="14" t="s">
        <v>153</v>
      </c>
      <c r="D36" s="14" t="s">
        <v>154</v>
      </c>
      <c r="E36" s="14" t="s">
        <v>148</v>
      </c>
      <c r="F36" s="28" t="s">
        <v>155</v>
      </c>
      <c r="G36" s="15" t="s">
        <v>35</v>
      </c>
      <c r="H36" s="14" t="s">
        <v>156</v>
      </c>
      <c r="I36" s="15" t="s">
        <v>152</v>
      </c>
      <c r="J36" s="16">
        <v>6</v>
      </c>
      <c r="K36" s="17">
        <v>100</v>
      </c>
    </row>
    <row r="37" spans="1:11" x14ac:dyDescent="0.25">
      <c r="A37" s="51"/>
      <c r="B37" s="5">
        <f>ROW(B37) - ROW($B$9)</f>
        <v>28</v>
      </c>
      <c r="C37" s="18" t="s">
        <v>157</v>
      </c>
      <c r="D37" s="18" t="s">
        <v>158</v>
      </c>
      <c r="E37" s="18" t="s">
        <v>148</v>
      </c>
      <c r="F37" s="18" t="s">
        <v>159</v>
      </c>
      <c r="G37" s="19" t="s">
        <v>20</v>
      </c>
      <c r="H37" s="18" t="s">
        <v>160</v>
      </c>
      <c r="I37" s="19" t="s">
        <v>161</v>
      </c>
      <c r="J37" s="12">
        <v>1</v>
      </c>
      <c r="K37" s="13">
        <v>100</v>
      </c>
    </row>
    <row r="38" spans="1:11" x14ac:dyDescent="0.25">
      <c r="A38" s="51"/>
      <c r="B38" s="5">
        <f>ROW(B38) - ROW($B$9)</f>
        <v>29</v>
      </c>
      <c r="C38" s="10" t="s">
        <v>162</v>
      </c>
      <c r="D38" s="10" t="s">
        <v>163</v>
      </c>
      <c r="E38" s="10" t="s">
        <v>164</v>
      </c>
      <c r="F38" s="10" t="s">
        <v>165</v>
      </c>
      <c r="G38" s="11" t="s">
        <v>20</v>
      </c>
      <c r="H38" s="10" t="s">
        <v>166</v>
      </c>
      <c r="I38" s="11" t="s">
        <v>167</v>
      </c>
      <c r="J38" s="12">
        <v>5</v>
      </c>
      <c r="K38" s="13">
        <v>100</v>
      </c>
    </row>
    <row r="39" spans="1:11" x14ac:dyDescent="0.25">
      <c r="A39" s="51"/>
      <c r="B39" s="5">
        <f>ROW(B39) - ROW($B$9)</f>
        <v>30</v>
      </c>
      <c r="C39" s="21" t="s">
        <v>168</v>
      </c>
      <c r="D39" s="21" t="s">
        <v>169</v>
      </c>
      <c r="E39" s="21" t="s">
        <v>148</v>
      </c>
      <c r="F39" s="21" t="s">
        <v>170</v>
      </c>
      <c r="G39" s="22" t="s">
        <v>20</v>
      </c>
      <c r="H39" s="21" t="s">
        <v>171</v>
      </c>
      <c r="I39" s="22" t="s">
        <v>172</v>
      </c>
      <c r="J39" s="16">
        <v>1</v>
      </c>
      <c r="K39" s="17">
        <v>100</v>
      </c>
    </row>
    <row r="40" spans="1:11" x14ac:dyDescent="0.25">
      <c r="A40" s="51"/>
      <c r="B40" s="5">
        <f>ROW(B40) - ROW($B$9)</f>
        <v>31</v>
      </c>
      <c r="C40" s="18" t="s">
        <v>173</v>
      </c>
      <c r="D40" s="18" t="s">
        <v>174</v>
      </c>
      <c r="E40" s="18" t="s">
        <v>148</v>
      </c>
      <c r="F40" s="18" t="s">
        <v>175</v>
      </c>
      <c r="G40" s="19" t="s">
        <v>20</v>
      </c>
      <c r="H40" s="18" t="s">
        <v>176</v>
      </c>
      <c r="I40" s="19" t="s">
        <v>177</v>
      </c>
      <c r="J40" s="12">
        <v>2</v>
      </c>
      <c r="K40" s="13">
        <v>100</v>
      </c>
    </row>
    <row r="41" spans="1:11" x14ac:dyDescent="0.25">
      <c r="A41" s="51"/>
      <c r="B41" s="5">
        <f>ROW(B41) - ROW($B$9)</f>
        <v>32</v>
      </c>
      <c r="C41" s="21" t="s">
        <v>178</v>
      </c>
      <c r="D41" s="21" t="s">
        <v>179</v>
      </c>
      <c r="E41" s="21" t="s">
        <v>148</v>
      </c>
      <c r="F41" s="21" t="s">
        <v>180</v>
      </c>
      <c r="G41" s="22" t="s">
        <v>20</v>
      </c>
      <c r="H41" s="21" t="s">
        <v>181</v>
      </c>
      <c r="I41" s="22" t="s">
        <v>182</v>
      </c>
      <c r="J41" s="16">
        <v>1</v>
      </c>
      <c r="K41" s="17">
        <v>100</v>
      </c>
    </row>
    <row r="42" spans="1:11" x14ac:dyDescent="0.25">
      <c r="A42" s="51"/>
      <c r="B42" s="5">
        <f>ROW(B42) - ROW($B$9)</f>
        <v>33</v>
      </c>
      <c r="C42" s="18" t="s">
        <v>183</v>
      </c>
      <c r="D42" s="18" t="s">
        <v>184</v>
      </c>
      <c r="E42" s="18" t="s">
        <v>148</v>
      </c>
      <c r="F42" s="18" t="s">
        <v>185</v>
      </c>
      <c r="G42" s="19" t="s">
        <v>20</v>
      </c>
      <c r="H42" s="18" t="s">
        <v>186</v>
      </c>
      <c r="I42" s="19" t="s">
        <v>187</v>
      </c>
      <c r="J42" s="12">
        <v>1</v>
      </c>
      <c r="K42" s="13">
        <v>100</v>
      </c>
    </row>
    <row r="43" spans="1:11" x14ac:dyDescent="0.25">
      <c r="A43" s="51"/>
      <c r="B43" s="5">
        <f>ROW(B43) - ROW($B$9)</f>
        <v>34</v>
      </c>
      <c r="C43" s="21" t="s">
        <v>188</v>
      </c>
      <c r="D43" s="21" t="s">
        <v>189</v>
      </c>
      <c r="E43" s="21" t="s">
        <v>148</v>
      </c>
      <c r="F43" s="21" t="s">
        <v>190</v>
      </c>
      <c r="G43" s="22" t="s">
        <v>20</v>
      </c>
      <c r="H43" s="21" t="s">
        <v>191</v>
      </c>
      <c r="I43" s="22" t="s">
        <v>192</v>
      </c>
      <c r="J43" s="16">
        <v>5</v>
      </c>
      <c r="K43" s="17">
        <v>100</v>
      </c>
    </row>
    <row r="44" spans="1:11" x14ac:dyDescent="0.25">
      <c r="A44" s="51"/>
      <c r="B44" s="5">
        <f>ROW(B44) - ROW($B$9)</f>
        <v>35</v>
      </c>
      <c r="C44" s="21" t="s">
        <v>193</v>
      </c>
      <c r="D44" s="21" t="s">
        <v>194</v>
      </c>
      <c r="E44" s="21" t="s">
        <v>148</v>
      </c>
      <c r="F44" s="21" t="s">
        <v>195</v>
      </c>
      <c r="G44" s="22" t="s">
        <v>20</v>
      </c>
      <c r="H44" s="21" t="s">
        <v>196</v>
      </c>
      <c r="I44" s="22" t="s">
        <v>197</v>
      </c>
      <c r="J44" s="16">
        <v>2</v>
      </c>
      <c r="K44" s="17">
        <v>100</v>
      </c>
    </row>
    <row r="45" spans="1:11" x14ac:dyDescent="0.25">
      <c r="A45" s="51"/>
      <c r="B45" s="5">
        <f>ROW(B45) - ROW($B$9)</f>
        <v>36</v>
      </c>
      <c r="C45" s="18" t="s">
        <v>198</v>
      </c>
      <c r="D45" s="18" t="s">
        <v>199</v>
      </c>
      <c r="E45" s="18" t="s">
        <v>148</v>
      </c>
      <c r="F45" s="18" t="s">
        <v>200</v>
      </c>
      <c r="G45" s="19" t="s">
        <v>20</v>
      </c>
      <c r="H45" s="18" t="s">
        <v>201</v>
      </c>
      <c r="I45" s="19" t="s">
        <v>202</v>
      </c>
      <c r="J45" s="12">
        <v>4</v>
      </c>
      <c r="K45" s="13">
        <v>100</v>
      </c>
    </row>
    <row r="46" spans="1:11" ht="38.25" x14ac:dyDescent="0.25">
      <c r="A46" s="51"/>
      <c r="B46" s="5">
        <f>ROW(B46) - ROW($B$9)</f>
        <v>37</v>
      </c>
      <c r="C46" s="14" t="s">
        <v>203</v>
      </c>
      <c r="D46" s="14" t="s">
        <v>204</v>
      </c>
      <c r="E46" s="14" t="s">
        <v>148</v>
      </c>
      <c r="F46" s="14" t="s">
        <v>205</v>
      </c>
      <c r="G46" s="15" t="s">
        <v>20</v>
      </c>
      <c r="H46" s="14" t="s">
        <v>206</v>
      </c>
      <c r="I46" s="15" t="s">
        <v>207</v>
      </c>
      <c r="J46" s="16">
        <v>20</v>
      </c>
      <c r="K46" s="17">
        <v>300</v>
      </c>
    </row>
    <row r="47" spans="1:11" x14ac:dyDescent="0.25">
      <c r="A47" s="51"/>
      <c r="B47" s="5">
        <f>ROW(B47) - ROW($B$9)</f>
        <v>38</v>
      </c>
      <c r="C47" s="18" t="s">
        <v>208</v>
      </c>
      <c r="D47" s="18" t="s">
        <v>209</v>
      </c>
      <c r="E47" s="18" t="s">
        <v>148</v>
      </c>
      <c r="F47" s="18" t="s">
        <v>210</v>
      </c>
      <c r="G47" s="19" t="s">
        <v>20</v>
      </c>
      <c r="H47" s="18" t="s">
        <v>211</v>
      </c>
      <c r="I47" s="19" t="s">
        <v>212</v>
      </c>
      <c r="J47" s="12">
        <v>1</v>
      </c>
      <c r="K47" s="13">
        <v>100</v>
      </c>
    </row>
    <row r="48" spans="1:11" x14ac:dyDescent="0.25">
      <c r="A48" s="51"/>
      <c r="B48" s="5">
        <f>ROW(B48) - ROW($B$9)</f>
        <v>39</v>
      </c>
      <c r="C48" s="21" t="s">
        <v>213</v>
      </c>
      <c r="D48" s="21" t="s">
        <v>214</v>
      </c>
      <c r="E48" s="21" t="s">
        <v>148</v>
      </c>
      <c r="F48" s="21" t="s">
        <v>215</v>
      </c>
      <c r="G48" s="22" t="s">
        <v>20</v>
      </c>
      <c r="H48" s="21" t="s">
        <v>216</v>
      </c>
      <c r="I48" s="22" t="s">
        <v>217</v>
      </c>
      <c r="J48" s="16">
        <v>4</v>
      </c>
      <c r="K48" s="17">
        <v>100</v>
      </c>
    </row>
    <row r="49" spans="1:11" ht="38.25" x14ac:dyDescent="0.25">
      <c r="A49" s="51"/>
      <c r="B49" s="5">
        <f>ROW(B49) - ROW($B$9)</f>
        <v>40</v>
      </c>
      <c r="C49" s="10" t="s">
        <v>218</v>
      </c>
      <c r="D49" s="10" t="s">
        <v>219</v>
      </c>
      <c r="E49" s="10" t="s">
        <v>148</v>
      </c>
      <c r="F49" s="10" t="s">
        <v>220</v>
      </c>
      <c r="G49" s="11" t="s">
        <v>20</v>
      </c>
      <c r="H49" s="10" t="s">
        <v>221</v>
      </c>
      <c r="I49" s="11" t="s">
        <v>222</v>
      </c>
      <c r="J49" s="12">
        <v>22</v>
      </c>
      <c r="K49" s="13">
        <v>300</v>
      </c>
    </row>
    <row r="50" spans="1:11" x14ac:dyDescent="0.25">
      <c r="A50" s="51"/>
      <c r="B50" s="5">
        <f>ROW(B50) - ROW($B$9)</f>
        <v>41</v>
      </c>
      <c r="C50" s="21" t="s">
        <v>223</v>
      </c>
      <c r="D50" s="21" t="s">
        <v>224</v>
      </c>
      <c r="E50" s="21" t="s">
        <v>32</v>
      </c>
      <c r="F50" s="21" t="s">
        <v>225</v>
      </c>
      <c r="G50" s="22" t="s">
        <v>226</v>
      </c>
      <c r="H50" s="21" t="s">
        <v>227</v>
      </c>
      <c r="I50" s="25" t="s">
        <v>79</v>
      </c>
      <c r="J50" s="16">
        <v>1</v>
      </c>
      <c r="K50" s="17">
        <v>12</v>
      </c>
    </row>
    <row r="51" spans="1:11" ht="25.5" x14ac:dyDescent="0.25">
      <c r="A51" s="51"/>
      <c r="B51" s="5">
        <f>ROW(B51) - ROW($B$9)</f>
        <v>42</v>
      </c>
      <c r="C51" s="18" t="s">
        <v>228</v>
      </c>
      <c r="D51" s="18" t="s">
        <v>229</v>
      </c>
      <c r="E51" s="18" t="s">
        <v>32</v>
      </c>
      <c r="F51" s="18" t="s">
        <v>230</v>
      </c>
      <c r="G51" s="19" t="s">
        <v>231</v>
      </c>
      <c r="H51" s="20" t="s">
        <v>34</v>
      </c>
      <c r="I51" s="24" t="s">
        <v>79</v>
      </c>
      <c r="J51" s="12">
        <v>1</v>
      </c>
      <c r="K51" s="13">
        <v>10</v>
      </c>
    </row>
    <row r="52" spans="1:11" x14ac:dyDescent="0.25">
      <c r="A52" s="51"/>
      <c r="B52" s="5">
        <f>ROW(B52) - ROW($B$9)</f>
        <v>43</v>
      </c>
      <c r="C52" s="21" t="s">
        <v>232</v>
      </c>
      <c r="D52" s="21" t="s">
        <v>233</v>
      </c>
      <c r="E52" s="21" t="s">
        <v>234</v>
      </c>
      <c r="F52" s="21" t="s">
        <v>235</v>
      </c>
      <c r="G52" s="22" t="s">
        <v>236</v>
      </c>
      <c r="H52" s="21" t="s">
        <v>237</v>
      </c>
      <c r="I52" s="25" t="s">
        <v>79</v>
      </c>
      <c r="J52" s="16">
        <v>2</v>
      </c>
      <c r="K52" s="17">
        <v>22</v>
      </c>
    </row>
    <row r="53" spans="1:11" x14ac:dyDescent="0.25">
      <c r="A53" s="51"/>
      <c r="B53" s="5">
        <f>ROW(B53) - ROW($B$9)</f>
        <v>44</v>
      </c>
      <c r="C53" s="18" t="s">
        <v>238</v>
      </c>
      <c r="D53" s="18" t="s">
        <v>239</v>
      </c>
      <c r="E53" s="18" t="s">
        <v>240</v>
      </c>
      <c r="F53" s="18" t="s">
        <v>241</v>
      </c>
      <c r="G53" s="19" t="s">
        <v>242</v>
      </c>
      <c r="H53" s="18" t="s">
        <v>243</v>
      </c>
      <c r="I53" s="24" t="s">
        <v>79</v>
      </c>
      <c r="J53" s="12">
        <v>1</v>
      </c>
      <c r="K53" s="13">
        <v>12</v>
      </c>
    </row>
    <row r="54" spans="1:11" x14ac:dyDescent="0.25">
      <c r="A54" s="51"/>
      <c r="B54" s="5">
        <f>ROW(B54) - ROW($B$9)</f>
        <v>45</v>
      </c>
      <c r="C54" s="21" t="s">
        <v>244</v>
      </c>
      <c r="D54" s="21" t="s">
        <v>245</v>
      </c>
      <c r="E54" s="21" t="s">
        <v>246</v>
      </c>
      <c r="F54" s="21" t="s">
        <v>247</v>
      </c>
      <c r="G54" s="22" t="s">
        <v>248</v>
      </c>
      <c r="H54" s="23" t="s">
        <v>34</v>
      </c>
      <c r="I54" s="25" t="s">
        <v>13</v>
      </c>
      <c r="J54" s="16">
        <v>1</v>
      </c>
      <c r="K54" s="17">
        <v>10</v>
      </c>
    </row>
    <row r="55" spans="1:11" ht="25.5" x14ac:dyDescent="0.25">
      <c r="A55" s="51"/>
      <c r="B55" s="5">
        <f>ROW(B55) - ROW($B$9)</f>
        <v>46</v>
      </c>
      <c r="C55" s="18" t="s">
        <v>249</v>
      </c>
      <c r="D55" s="18" t="s">
        <v>250</v>
      </c>
      <c r="E55" s="18" t="s">
        <v>251</v>
      </c>
      <c r="F55" s="18" t="s">
        <v>252</v>
      </c>
      <c r="G55" s="19" t="s">
        <v>253</v>
      </c>
      <c r="H55" s="18" t="s">
        <v>254</v>
      </c>
      <c r="I55" s="24" t="s">
        <v>34</v>
      </c>
      <c r="J55" s="12">
        <v>5</v>
      </c>
      <c r="K55" s="13">
        <v>55</v>
      </c>
    </row>
    <row r="56" spans="1:11" x14ac:dyDescent="0.25">
      <c r="A56" s="51"/>
      <c r="B56" s="5">
        <f>ROW(B56) - ROW($B$9)</f>
        <v>47</v>
      </c>
      <c r="C56" s="21" t="s">
        <v>255</v>
      </c>
      <c r="D56" s="21" t="s">
        <v>256</v>
      </c>
      <c r="E56" s="21" t="s">
        <v>32</v>
      </c>
      <c r="F56" s="21" t="s">
        <v>257</v>
      </c>
      <c r="G56" s="22" t="s">
        <v>258</v>
      </c>
      <c r="H56" s="21" t="s">
        <v>259</v>
      </c>
      <c r="I56" s="25" t="s">
        <v>13</v>
      </c>
      <c r="J56" s="16">
        <v>1</v>
      </c>
      <c r="K56" s="17">
        <v>12</v>
      </c>
    </row>
    <row r="57" spans="1:11" ht="26.25" thickBot="1" x14ac:dyDescent="0.3">
      <c r="A57" s="51"/>
      <c r="B57" s="29">
        <f>ROW(B57) - ROW($B$9)</f>
        <v>48</v>
      </c>
      <c r="C57" s="30" t="s">
        <v>260</v>
      </c>
      <c r="D57" s="30" t="s">
        <v>261</v>
      </c>
      <c r="E57" s="30" t="s">
        <v>32</v>
      </c>
      <c r="F57" s="32" t="s">
        <v>262</v>
      </c>
      <c r="G57" s="31" t="s">
        <v>263</v>
      </c>
      <c r="H57" s="32" t="s">
        <v>264</v>
      </c>
      <c r="I57" s="31" t="s">
        <v>265</v>
      </c>
      <c r="J57" s="33">
        <v>1</v>
      </c>
      <c r="K57" s="34">
        <v>15</v>
      </c>
    </row>
    <row r="58" spans="1:11" x14ac:dyDescent="0.25">
      <c r="A58" s="51"/>
      <c r="B58" s="35"/>
      <c r="C58" s="36" t="s">
        <v>266</v>
      </c>
      <c r="D58" s="37"/>
      <c r="E58" s="38"/>
      <c r="F58" s="39"/>
      <c r="G58" s="38"/>
      <c r="H58" s="38"/>
      <c r="I58" s="39"/>
      <c r="J58" s="40"/>
      <c r="K58" s="41"/>
    </row>
    <row r="59" spans="1:11" ht="15.75" thickBot="1" x14ac:dyDescent="0.3">
      <c r="A59" s="51"/>
      <c r="B59" s="42"/>
      <c r="C59" s="43" t="s">
        <v>267</v>
      </c>
      <c r="D59" s="44"/>
      <c r="E59" s="44"/>
      <c r="F59" s="44"/>
      <c r="G59" s="44"/>
      <c r="H59" s="44"/>
      <c r="I59" s="44"/>
      <c r="J59" s="45"/>
      <c r="K59" s="46"/>
    </row>
    <row r="60" spans="1:11" x14ac:dyDescent="0.25">
      <c r="A60" s="51"/>
    </row>
    <row r="61" spans="1:11" x14ac:dyDescent="0.25">
      <c r="A61" s="51"/>
    </row>
    <row r="62" spans="1:11" x14ac:dyDescent="0.25">
      <c r="A62" s="51"/>
    </row>
    <row r="63" spans="1:11" x14ac:dyDescent="0.25">
      <c r="A63" s="51"/>
    </row>
    <row r="64" spans="1:11" x14ac:dyDescent="0.25">
      <c r="A64" s="51"/>
    </row>
    <row r="65" spans="1:1" x14ac:dyDescent="0.25">
      <c r="A65" s="51"/>
    </row>
    <row r="66" spans="1:1" x14ac:dyDescent="0.25">
      <c r="A66" s="51"/>
    </row>
    <row r="67" spans="1:1" x14ac:dyDescent="0.25">
      <c r="A67" s="51"/>
    </row>
    <row r="68" spans="1:1" x14ac:dyDescent="0.25">
      <c r="A68" s="51"/>
    </row>
    <row r="69" spans="1:1" x14ac:dyDescent="0.25">
      <c r="A69" s="51"/>
    </row>
    <row r="70" spans="1:1" x14ac:dyDescent="0.25">
      <c r="A70" s="51"/>
    </row>
  </sheetData>
  <mergeCells count="3">
    <mergeCell ref="A1:J1"/>
    <mergeCell ref="T2:U2"/>
    <mergeCell ref="U3:U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TRADERS</dc:creator>
  <cp:lastModifiedBy>Windows User</cp:lastModifiedBy>
  <dcterms:created xsi:type="dcterms:W3CDTF">2022-05-27T06:48:22Z</dcterms:created>
  <dcterms:modified xsi:type="dcterms:W3CDTF">2022-05-27T07:32:50Z</dcterms:modified>
</cp:coreProperties>
</file>