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JohnWollam-MatrixProject\Deliverables\BOM\"/>
    </mc:Choice>
  </mc:AlternateContent>
  <bookViews>
    <workbookView xWindow="0" yWindow="0" windowWidth="20490" windowHeight="70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0" i="1" l="1"/>
  <c r="K50" i="1"/>
  <c r="A50" i="1"/>
  <c r="L49" i="1"/>
  <c r="K49" i="1"/>
  <c r="A49" i="1"/>
  <c r="L48" i="1"/>
  <c r="K48" i="1"/>
  <c r="A48" i="1"/>
  <c r="L47" i="1"/>
  <c r="K47" i="1"/>
  <c r="A47" i="1"/>
  <c r="L46" i="1"/>
  <c r="K46" i="1"/>
  <c r="A46" i="1"/>
  <c r="L45" i="1"/>
  <c r="K45" i="1"/>
  <c r="A45" i="1"/>
  <c r="L44" i="1"/>
  <c r="K44" i="1"/>
  <c r="A44" i="1"/>
  <c r="L43" i="1"/>
  <c r="K43" i="1"/>
  <c r="A43" i="1"/>
  <c r="L42" i="1"/>
  <c r="K42" i="1"/>
  <c r="A42" i="1"/>
  <c r="L41" i="1"/>
  <c r="K41" i="1"/>
  <c r="A41" i="1"/>
  <c r="L40" i="1"/>
  <c r="K40" i="1"/>
  <c r="A40" i="1"/>
  <c r="L39" i="1"/>
  <c r="K39" i="1"/>
  <c r="A39" i="1"/>
  <c r="L38" i="1"/>
  <c r="K38" i="1"/>
  <c r="A38" i="1"/>
  <c r="L37" i="1"/>
  <c r="K37" i="1"/>
  <c r="A37" i="1"/>
  <c r="L36" i="1"/>
  <c r="K36" i="1"/>
  <c r="A36" i="1"/>
  <c r="L35" i="1"/>
  <c r="K35" i="1"/>
  <c r="A35" i="1"/>
  <c r="L34" i="1"/>
  <c r="K34" i="1"/>
  <c r="A34" i="1"/>
  <c r="L33" i="1"/>
  <c r="K33" i="1"/>
  <c r="A33" i="1"/>
  <c r="L32" i="1"/>
  <c r="K32" i="1"/>
  <c r="A32" i="1"/>
  <c r="L31" i="1"/>
  <c r="K31" i="1"/>
  <c r="A31" i="1"/>
  <c r="L30" i="1"/>
  <c r="K30" i="1"/>
  <c r="A30" i="1"/>
  <c r="L29" i="1"/>
  <c r="K29" i="1"/>
  <c r="L28" i="1"/>
  <c r="K28" i="1"/>
  <c r="A28" i="1"/>
  <c r="L27" i="1"/>
  <c r="K27" i="1"/>
  <c r="A27" i="1"/>
  <c r="L26" i="1"/>
  <c r="K26" i="1"/>
  <c r="A26" i="1"/>
  <c r="L25" i="1"/>
  <c r="K25" i="1"/>
  <c r="A25" i="1"/>
  <c r="L24" i="1"/>
  <c r="K24" i="1"/>
  <c r="A24" i="1"/>
  <c r="L23" i="1"/>
  <c r="K23" i="1"/>
  <c r="A23" i="1"/>
  <c r="L22" i="1"/>
  <c r="K22" i="1"/>
  <c r="A22" i="1"/>
  <c r="L21" i="1"/>
  <c r="K21" i="1"/>
  <c r="A21" i="1"/>
  <c r="L20" i="1"/>
  <c r="K20" i="1"/>
  <c r="A20" i="1"/>
  <c r="L19" i="1"/>
  <c r="K19" i="1"/>
  <c r="A19" i="1"/>
  <c r="L18" i="1"/>
  <c r="K18" i="1"/>
  <c r="A18" i="1"/>
  <c r="L17" i="1"/>
  <c r="K17" i="1"/>
  <c r="A17" i="1"/>
  <c r="L16" i="1"/>
  <c r="K16" i="1"/>
  <c r="A16" i="1"/>
  <c r="L15" i="1"/>
  <c r="K15" i="1"/>
  <c r="A15" i="1"/>
  <c r="L14" i="1"/>
  <c r="K14" i="1"/>
  <c r="A14" i="1"/>
  <c r="L13" i="1"/>
  <c r="K13" i="1"/>
  <c r="A13" i="1"/>
  <c r="L12" i="1"/>
  <c r="K12" i="1"/>
  <c r="A12" i="1"/>
  <c r="L11" i="1"/>
  <c r="K11" i="1"/>
  <c r="A11" i="1"/>
  <c r="L10" i="1"/>
  <c r="K10" i="1"/>
  <c r="A10" i="1"/>
  <c r="L9" i="1"/>
  <c r="K9" i="1"/>
  <c r="A9" i="1"/>
  <c r="L8" i="1"/>
  <c r="K8" i="1"/>
  <c r="A8" i="1"/>
  <c r="L7" i="1"/>
  <c r="K7" i="1"/>
  <c r="A7" i="1"/>
  <c r="L6" i="1"/>
  <c r="K6" i="1"/>
  <c r="A6" i="1"/>
  <c r="L5" i="1"/>
  <c r="K5" i="1"/>
  <c r="A5" i="1"/>
  <c r="L4" i="1"/>
  <c r="K4" i="1"/>
  <c r="A4" i="1"/>
  <c r="L3" i="1"/>
  <c r="K3" i="1"/>
  <c r="A3" i="1"/>
</calcChain>
</file>

<file path=xl/sharedStrings.xml><?xml version="1.0" encoding="utf-8"?>
<sst xmlns="http://schemas.openxmlformats.org/spreadsheetml/2006/main" count="400" uniqueCount="286">
  <si>
    <t>#</t>
  </si>
  <si>
    <t>Designator</t>
  </si>
  <si>
    <t>Description</t>
  </si>
  <si>
    <t>Footprint</t>
  </si>
  <si>
    <t>Manufacturer Part Number</t>
  </si>
  <si>
    <t xml:space="preserve">Alternate Part No </t>
  </si>
  <si>
    <t>Manufacturer</t>
  </si>
  <si>
    <t>LCSC/Part No</t>
  </si>
  <si>
    <t>Comment</t>
  </si>
  <si>
    <t>Quantity</t>
  </si>
  <si>
    <t>Quantity/10 Boards</t>
  </si>
  <si>
    <t>Quantity/100 Boards</t>
  </si>
  <si>
    <t>LCSC MOQ/10</t>
  </si>
  <si>
    <t>MOQ/100 Boards</t>
  </si>
  <si>
    <t>C1, C23, C33, CF1</t>
  </si>
  <si>
    <t>CAP CER 10UF 10V X5R 0402</t>
  </si>
  <si>
    <t>Cap0402</t>
  </si>
  <si>
    <t>CL05A106MP8NUB8</t>
  </si>
  <si>
    <t>------</t>
  </si>
  <si>
    <t>Samsung</t>
  </si>
  <si>
    <t>C307415</t>
  </si>
  <si>
    <t>10uF</t>
  </si>
  <si>
    <t>C2, C8, C10, C12, C17, C32, CF4, CF5, CF8, CU1, CU2, CU3, CU4, CU8</t>
  </si>
  <si>
    <t>CAP CER 0.1UF 16V X5R 0402</t>
  </si>
  <si>
    <t>CC0402KRX5R7BB104</t>
  </si>
  <si>
    <t>Yageo</t>
  </si>
  <si>
    <t>C106204</t>
  </si>
  <si>
    <t>0.1uF</t>
  </si>
  <si>
    <t>C9, CS1, CF6, CF7</t>
  </si>
  <si>
    <t>CAP CER 22UF 25V X5R 0805</t>
  </si>
  <si>
    <t>Cap0805</t>
  </si>
  <si>
    <t>GRM21BR61E226ME44K</t>
  </si>
  <si>
    <t>CL21A226MAQNNNE</t>
  </si>
  <si>
    <t>Murata</t>
  </si>
  <si>
    <t>C2922481</t>
  </si>
  <si>
    <t>22uF</t>
  </si>
  <si>
    <t>C11</t>
  </si>
  <si>
    <t>CAP ALUM POLY 180UF 20% 16V SMD</t>
  </si>
  <si>
    <t>Custom</t>
  </si>
  <si>
    <t>16SVPF180M</t>
  </si>
  <si>
    <t>-----</t>
  </si>
  <si>
    <t>Panasonic</t>
  </si>
  <si>
    <t>C136277</t>
  </si>
  <si>
    <t>180uF</t>
  </si>
  <si>
    <t>C13</t>
  </si>
  <si>
    <t>CAP CER 0.47UF 25V X5R 0402</t>
  </si>
  <si>
    <t>GRT155R61E474KE01D</t>
  </si>
  <si>
    <t>GRM155R61E474KE01D</t>
  </si>
  <si>
    <t>C437526</t>
  </si>
  <si>
    <t>470nF</t>
  </si>
  <si>
    <t>C14</t>
  </si>
  <si>
    <t>CAP CER 0.047UF 16V X5R 0201</t>
  </si>
  <si>
    <t>Cap 0201</t>
  </si>
  <si>
    <t>GRM033R61C473KE84D</t>
  </si>
  <si>
    <t>C88917</t>
  </si>
  <si>
    <t>47nF</t>
  </si>
  <si>
    <t>C15, C16</t>
  </si>
  <si>
    <t>CAP CER 47UF 25V X5R 1206</t>
  </si>
  <si>
    <t>Cap1206</t>
  </si>
  <si>
    <t>GRM31CR61E476ME44L</t>
  </si>
  <si>
    <t>C403725</t>
  </si>
  <si>
    <t>47uF</t>
  </si>
  <si>
    <t>C25, CU5</t>
  </si>
  <si>
    <t>CAP CER 4.7UF 25V X5R 0603</t>
  </si>
  <si>
    <t>Cap0603</t>
  </si>
  <si>
    <t>CL10A475KA8NQNC</t>
  </si>
  <si>
    <t>C69335</t>
  </si>
  <si>
    <t>4.7UF</t>
  </si>
  <si>
    <t>C34, C35</t>
  </si>
  <si>
    <t>CAP CER 47PF 50V C0G/NP0 0402</t>
  </si>
  <si>
    <t>GCM1555C1H470JA16D</t>
  </si>
  <si>
    <t>C126511</t>
  </si>
  <si>
    <t>47pF</t>
  </si>
  <si>
    <t>CF2, CF3</t>
  </si>
  <si>
    <t>CAP CER 10UF 25V X5R 0603</t>
  </si>
  <si>
    <t>TMK107BBJ106MA-T</t>
  </si>
  <si>
    <t>Taiyo Yuden</t>
  </si>
  <si>
    <t>C386081</t>
  </si>
  <si>
    <t>CU6</t>
  </si>
  <si>
    <t>CAP CER 1UF 25V X5R 0402</t>
  </si>
  <si>
    <t>GRM155R61E105KA12D</t>
  </si>
  <si>
    <t>C77009</t>
  </si>
  <si>
    <t>1uF</t>
  </si>
  <si>
    <t>CU7</t>
  </si>
  <si>
    <t>CAP CER 10000PF 25V X7R 0402</t>
  </si>
  <si>
    <t>CC0402KRX7R8BB103</t>
  </si>
  <si>
    <t>-------</t>
  </si>
  <si>
    <t>C327025</t>
  </si>
  <si>
    <t>10nF</t>
  </si>
  <si>
    <t>CU9, CU10</t>
  </si>
  <si>
    <t>CAP CER 20PF 25V C0H 0201</t>
  </si>
  <si>
    <t>GJM0336C1E200JB01D</t>
  </si>
  <si>
    <t>CC0201JRNPO8BN200</t>
  </si>
  <si>
    <t>C541204</t>
  </si>
  <si>
    <t>20pF</t>
  </si>
  <si>
    <t>D1, D2</t>
  </si>
  <si>
    <t>DIODE SCHOTTKY 30V 1A SOD123W</t>
  </si>
  <si>
    <t>SOD123W</t>
  </si>
  <si>
    <t>PMEG3010ER,115</t>
  </si>
  <si>
    <t>PMEG6010ER,115</t>
  </si>
  <si>
    <t>NXP Semiconductors</t>
  </si>
  <si>
    <t>C456121</t>
  </si>
  <si>
    <t>F1</t>
  </si>
  <si>
    <t>PTC RESET FUSE 16V 2.5A 1812</t>
  </si>
  <si>
    <t>MF-MSMF250/16X-2</t>
  </si>
  <si>
    <t>Bourns</t>
  </si>
  <si>
    <t>C210838</t>
  </si>
  <si>
    <t>FB1</t>
  </si>
  <si>
    <t>FERRITE BEAD 120 OHM 0402 1LN</t>
  </si>
  <si>
    <t>IND 0402</t>
  </si>
  <si>
    <t>MMZ1005F121ET000</t>
  </si>
  <si>
    <t>TDK</t>
  </si>
  <si>
    <t>C89458</t>
  </si>
  <si>
    <t>J1, J2, J3, J4, J5, J7, J8</t>
  </si>
  <si>
    <t>Socket</t>
  </si>
  <si>
    <t>J6</t>
  </si>
  <si>
    <t>TERM BLK 12P SIDE ENT 5.08MM PCB</t>
  </si>
  <si>
    <t>DB128V-5.0-12P-GN-S</t>
  </si>
  <si>
    <t>Phoenix Contact</t>
  </si>
  <si>
    <t>C424688</t>
  </si>
  <si>
    <t>L1</t>
  </si>
  <si>
    <t>2.2uH ±20% 5.5A 29mΩ SMD,5.75x5.2x3mm Inductors (SMD) RoHS</t>
  </si>
  <si>
    <t>MS0530-2R2M</t>
  </si>
  <si>
    <t>COILMX</t>
  </si>
  <si>
    <t>C380163</t>
  </si>
  <si>
    <t>2.2uH</t>
  </si>
  <si>
    <t>LED1, LED2, LED3, LED4, LED5, LED6, LED7, LED8, LED9, LED10, LED11, LED12, LED13, LED14, LED15, LED16, LED17, LED18, LED19, LED20, LED21, LED22</t>
  </si>
  <si>
    <t>LED GREEN CLEAR CHIP 0603 SMD, LED GREEN CLEAR CHIP SMD</t>
  </si>
  <si>
    <t>LED 0603</t>
  </si>
  <si>
    <t>LTST-C190KGKT</t>
  </si>
  <si>
    <t>Vishay Lite-On</t>
  </si>
  <si>
    <t>C125094</t>
  </si>
  <si>
    <t>LF1</t>
  </si>
  <si>
    <t>FIXED IND 3.3UH 6A 30 MOHM SMD</t>
  </si>
  <si>
    <t>HCM0703-3R3-R</t>
  </si>
  <si>
    <t>Eaton Cooper</t>
  </si>
  <si>
    <t>3.3uH</t>
  </si>
  <si>
    <t>P2, P3</t>
  </si>
  <si>
    <t>CONN HEADER VERT 11POS 2.54MM</t>
  </si>
  <si>
    <t>Molex</t>
  </si>
  <si>
    <t>Q1</t>
  </si>
  <si>
    <t>P-Channel 30V Fast Switching MOSFET</t>
  </si>
  <si>
    <t>SOT-23</t>
  </si>
  <si>
    <t>QM3001K</t>
  </si>
  <si>
    <t>TY Semiconductor</t>
  </si>
  <si>
    <t>Q13, Q14, Q15, Q16, Q25, Q26, Q27, Q28, Q37, Q38, Q43, Q44, Q45, Q46, Q55, Q56, Q57, Q58, Q67, Q68</t>
  </si>
  <si>
    <t>MOSFET P-CH 20V 2.8A SOT-23</t>
  </si>
  <si>
    <t>SOT23-3</t>
  </si>
  <si>
    <t>PMV65XP,215</t>
  </si>
  <si>
    <t>Nexperia</t>
  </si>
  <si>
    <t>Q2 , Q17, Q18, Q19, Q20, Q21, Q22, Q23, Q24, Q29, Q30, Q31, Q32, Q33, Q34, Q35, Q36, Q39, Q40, Q41, Q42, Q47, Q48, Q49, Q50, Q51, Q52, Q53, Q54, Q59, Q60, Q61, Q62, Q63, Q64, Q65, Q66, Q69, Q70, Q71, Q72, Q73, Q74, Q75, Q76</t>
  </si>
  <si>
    <t>MOSFET N-CH 50V 200MA SOT-23</t>
  </si>
  <si>
    <t>BSS138LT1G</t>
  </si>
  <si>
    <t>ON Semiconductor</t>
  </si>
  <si>
    <t>C82045</t>
  </si>
  <si>
    <t xml:space="preserve">R1, R4, R59, R60, R61, R62, R63, R64, R65, R66, R71, R72, R73, R74, R75, R76, R77, R78, R83, R84, R85, R86, R90, R91, R92, R93, R94, R95, R96, R97, R102, R103, R104, R105, R106, R107, R108, R109, R114, R115, R116, R117, R120, R121, R122, R123 </t>
  </si>
  <si>
    <t>RES SMD 10K OHM 1% 1/16W 0402</t>
  </si>
  <si>
    <t>Res0402</t>
  </si>
  <si>
    <t>RC0402FR-0710KL</t>
  </si>
  <si>
    <t>Yageo Phycomp</t>
  </si>
  <si>
    <t>C60490</t>
  </si>
  <si>
    <t>10K</t>
  </si>
  <si>
    <t>R12, R19, R20, R25, R26, RF3</t>
  </si>
  <si>
    <t>RES 10K OHM 5% 1/10W 0402</t>
  </si>
  <si>
    <t>RK73B1ETTP103J</t>
  </si>
  <si>
    <t>ERJ-2GEJ103X</t>
  </si>
  <si>
    <t>C278577</t>
  </si>
  <si>
    <t>R2</t>
  </si>
  <si>
    <t>RES SMD 33.2K OHM 1% 1/16W 0402</t>
  </si>
  <si>
    <t>RC0402FR-0733K2L</t>
  </si>
  <si>
    <t>C130276</t>
  </si>
  <si>
    <t>33.2K</t>
  </si>
  <si>
    <t>R5, R13, R14, R21, R22</t>
  </si>
  <si>
    <t>RES SMD 390 OHM 5% 1/10W 0603</t>
  </si>
  <si>
    <t>Res0603</t>
  </si>
  <si>
    <t>RC0603JR-07390RL</t>
  </si>
  <si>
    <t>C137632</t>
  </si>
  <si>
    <t>390R</t>
  </si>
  <si>
    <t>R6</t>
  </si>
  <si>
    <t>RES SMD 330K OHM 1% 1/16W 0402</t>
  </si>
  <si>
    <t>RC0402FR-07330KL</t>
  </si>
  <si>
    <t>C138006</t>
  </si>
  <si>
    <t>330K</t>
  </si>
  <si>
    <t>R7, R9</t>
  </si>
  <si>
    <t>RES SMD 220K OHM 1% 1/16W 0402</t>
  </si>
  <si>
    <t>RC0402FR-07220KL</t>
  </si>
  <si>
    <t>C138030</t>
  </si>
  <si>
    <t>220K</t>
  </si>
  <si>
    <t>R8</t>
  </si>
  <si>
    <t>RES SMD 100 OHM 1% 1/16W 0402</t>
  </si>
  <si>
    <t>RC0402FR-07100RL</t>
  </si>
  <si>
    <t>C2935235</t>
  </si>
  <si>
    <t>100R</t>
  </si>
  <si>
    <t>R10</t>
  </si>
  <si>
    <t>RES SMD 270K OHM 1% 1/16W 0402</t>
  </si>
  <si>
    <t>RC0402FR-07270KL</t>
  </si>
  <si>
    <t>C163475</t>
  </si>
  <si>
    <t>270K</t>
  </si>
  <si>
    <t>R11, R15, R18, R23, R24</t>
  </si>
  <si>
    <t>RES 240 OHM 1% 1/16W 0402</t>
  </si>
  <si>
    <t>CRCW0402240RFKEDC</t>
  </si>
  <si>
    <t>RC0402FR-07240RL</t>
  </si>
  <si>
    <t>C114755</t>
  </si>
  <si>
    <t>240R</t>
  </si>
  <si>
    <t>R16, R17</t>
  </si>
  <si>
    <t>RES SMD 27 OHM 1% 1/16W 0402</t>
  </si>
  <si>
    <t>RT0402FRE0727RL</t>
  </si>
  <si>
    <t>0402WGF270JTCE</t>
  </si>
  <si>
    <t>C25100</t>
  </si>
  <si>
    <t>27R</t>
  </si>
  <si>
    <t>R38, R46, R48, R50</t>
  </si>
  <si>
    <t>RES SMD 4.7K OHM 1% 1/16W 0402</t>
  </si>
  <si>
    <t>RC0402FR-074K7L</t>
  </si>
  <si>
    <t>C105871</t>
  </si>
  <si>
    <t>4.7K</t>
  </si>
  <si>
    <t>R67, R68, R69, R70, R79, R80, R81, R82, R87, R88, R98, R99, R100, R101, R110, R111, R112, R113, R118, R119</t>
  </si>
  <si>
    <t>RES SMD 330 OHM 1% 1/16W 0402</t>
  </si>
  <si>
    <t>RC0402FR-07330RL</t>
  </si>
  <si>
    <t>C105875</t>
  </si>
  <si>
    <t>330R</t>
  </si>
  <si>
    <t>RF2</t>
  </si>
  <si>
    <t>RES SMD 54.9K OHM 1% 1/16W 0402</t>
  </si>
  <si>
    <t>AC0402FR-0754K9L</t>
  </si>
  <si>
    <t>C227137</t>
  </si>
  <si>
    <t>54.9K</t>
  </si>
  <si>
    <t>RF10, RU1, RU2, RU3</t>
  </si>
  <si>
    <t>RES SMD 20K OHM 1% 1/16W 0402</t>
  </si>
  <si>
    <t>RC0402JR-0720KL</t>
  </si>
  <si>
    <t>C137902</t>
  </si>
  <si>
    <t>20K</t>
  </si>
  <si>
    <t>RP1, RP2, RP3, RP4, RP5, RP6, RP7, RP8, RP9, RP10, RP11, RP12, RP13, RP14, RP15, RP16, RP17, RP18, RP19, RP20, R3, R58</t>
  </si>
  <si>
    <t>RES SMD 1K OHM 1% 1/16W 0402</t>
  </si>
  <si>
    <t>AT0402FRE071KL</t>
  </si>
  <si>
    <t>0402WGF1001TCE</t>
  </si>
  <si>
    <t>C11702</t>
  </si>
  <si>
    <t>1K</t>
  </si>
  <si>
    <t>SW4</t>
  </si>
  <si>
    <t>SWITCH TACTILE SPST-NO 0.05A 12V</t>
  </si>
  <si>
    <t>B3U-1000P</t>
  </si>
  <si>
    <t>Omron</t>
  </si>
  <si>
    <t>C231329</t>
  </si>
  <si>
    <t>SW5</t>
  </si>
  <si>
    <t>2 Position SPDT Miniature Slide Switch 100MA 12V Through Hole, Right Angle</t>
  </si>
  <si>
    <t>OS102011MA1QN1</t>
  </si>
  <si>
    <t>ITT C&amp;K</t>
  </si>
  <si>
    <t>U1, U2</t>
  </si>
  <si>
    <t>IC REG BUCK ADJ 3A TSOT23-6</t>
  </si>
  <si>
    <t>TSOT23-6</t>
  </si>
  <si>
    <t>TPS563201DDCR</t>
  </si>
  <si>
    <t>Texas Instruments</t>
  </si>
  <si>
    <t>C116592</t>
  </si>
  <si>
    <t>U3</t>
  </si>
  <si>
    <t>TVS DIODE 5V 6.8V 6UDFN</t>
  </si>
  <si>
    <t>6UDFN</t>
  </si>
  <si>
    <t>SP3014-02UTG</t>
  </si>
  <si>
    <t>Littelfuse</t>
  </si>
  <si>
    <t>C207282</t>
  </si>
  <si>
    <t>U4</t>
  </si>
  <si>
    <t>IC MCU 32BIT 128KB FLASH 48LQFP</t>
  </si>
  <si>
    <t>48LQFP</t>
  </si>
  <si>
    <t>STM32F070CBT6TR</t>
  </si>
  <si>
    <t>STMicroelectronics</t>
  </si>
  <si>
    <t>U5, U6, U7, U8, U9</t>
  </si>
  <si>
    <t>TransistorOptocouplers DC 1 2500Vrms SOP-4_P1.27 Optocouplers RoHS</t>
  </si>
  <si>
    <t>SOP-4</t>
  </si>
  <si>
    <t>PS2801C-1-F3-A</t>
  </si>
  <si>
    <t>CEL</t>
  </si>
  <si>
    <t>C67112</t>
  </si>
  <si>
    <t>USB1</t>
  </si>
  <si>
    <t>CONN USB MICRO B RECPT SMT R/A</t>
  </si>
  <si>
    <t>10118192-0001LF</t>
  </si>
  <si>
    <t>Amphenol FCI</t>
  </si>
  <si>
    <t>C132564</t>
  </si>
  <si>
    <t>X1</t>
  </si>
  <si>
    <t>8MHz ±20ppm 20pF SMD,12.5x4.5mm SMD Crystal Resonators RoHS</t>
  </si>
  <si>
    <t>49MD-8.000-20-20-20/A</t>
  </si>
  <si>
    <t>Suzhou Liming Elec</t>
  </si>
  <si>
    <t>C240959</t>
  </si>
  <si>
    <t>8MHz</t>
  </si>
  <si>
    <t>Approved</t>
  </si>
  <si>
    <t xml:space="preserve">Total Component Cost </t>
  </si>
  <si>
    <t>Notes</t>
  </si>
  <si>
    <t>Single Board Cost</t>
  </si>
  <si>
    <t>Aliexpress Shipping Cost</t>
  </si>
  <si>
    <t>Total Cost Single Board</t>
  </si>
  <si>
    <t>Bill of Material (BOM) for John Wollom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</si>
</sst>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4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10" xfId="0" quotePrefix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12" xfId="0" quotePrefix="1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quotePrefix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12" xfId="0" quotePrefix="1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5" fillId="5" borderId="6" xfId="0" quotePrefix="1" applyFont="1" applyFill="1" applyBorder="1" applyAlignment="1">
      <alignment horizontal="center" vertical="center" wrapText="1"/>
    </xf>
    <xf numFmtId="0" fontId="5" fillId="2" borderId="6" xfId="0" quotePrefix="1" applyFont="1" applyFill="1" applyBorder="1" applyAlignment="1">
      <alignment horizontal="center" vertical="center" wrapText="1"/>
    </xf>
    <xf numFmtId="0" fontId="6" fillId="0" borderId="13" xfId="0" quotePrefix="1" applyFont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 wrapText="1"/>
    </xf>
    <xf numFmtId="0" fontId="6" fillId="2" borderId="12" xfId="0" quotePrefix="1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5" fillId="5" borderId="15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5" xfId="0" quotePrefix="1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 applyProtection="1">
      <alignment horizontal="center" vertical="center"/>
      <protection locked="0"/>
    </xf>
    <xf numFmtId="0" fontId="2" fillId="3" borderId="3" xfId="0" applyNumberFormat="1" applyFont="1" applyFill="1" applyBorder="1" applyAlignment="1" applyProtection="1">
      <alignment vertical="center"/>
      <protection locked="0"/>
    </xf>
    <xf numFmtId="0" fontId="5" fillId="3" borderId="3" xfId="0" applyNumberFormat="1" applyFont="1" applyFill="1" applyBorder="1" applyAlignment="1" applyProtection="1">
      <alignment horizontal="left" vertical="center"/>
      <protection locked="0"/>
    </xf>
    <xf numFmtId="0" fontId="0" fillId="3" borderId="3" xfId="0" applyFont="1" applyFill="1" applyBorder="1" applyAlignment="1">
      <alignment vertical="center"/>
    </xf>
    <xf numFmtId="0" fontId="0" fillId="3" borderId="3" xfId="0" applyFont="1" applyFill="1" applyBorder="1"/>
    <xf numFmtId="0" fontId="4" fillId="3" borderId="3" xfId="0" quotePrefix="1" applyFont="1" applyFill="1" applyBorder="1" applyAlignment="1">
      <alignment horizontal="center"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3" fillId="3" borderId="20" xfId="0" applyNumberFormat="1" applyFont="1" applyFill="1" applyBorder="1" applyAlignment="1" applyProtection="1">
      <alignment horizontal="center" vertical="top"/>
      <protection locked="0"/>
    </xf>
    <xf numFmtId="0" fontId="2" fillId="3" borderId="21" xfId="0" applyNumberFormat="1" applyFont="1" applyFill="1" applyBorder="1" applyAlignment="1" applyProtection="1">
      <alignment horizontal="left" vertical="top"/>
      <protection locked="0"/>
    </xf>
    <xf numFmtId="0" fontId="5" fillId="3" borderId="21" xfId="0" applyNumberFormat="1" applyFont="1" applyFill="1" applyBorder="1" applyAlignment="1" applyProtection="1">
      <alignment horizontal="left" vertical="top"/>
      <protection locked="0"/>
    </xf>
    <xf numFmtId="0" fontId="0" fillId="3" borderId="21" xfId="0" applyFont="1" applyFill="1" applyBorder="1"/>
    <xf numFmtId="0" fontId="0" fillId="3" borderId="22" xfId="0" applyFont="1" applyFill="1" applyBorder="1"/>
    <xf numFmtId="0" fontId="0" fillId="0" borderId="0" xfId="0" applyAlignment="1">
      <alignment horizontal="center"/>
    </xf>
    <xf numFmtId="0" fontId="9" fillId="6" borderId="2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8" fillId="3" borderId="19" xfId="0" applyNumberFormat="1" applyFont="1" applyFill="1" applyBorder="1" applyAlignment="1" applyProtection="1">
      <alignment horizontal="center" vertical="top"/>
      <protection locked="0"/>
    </xf>
    <xf numFmtId="0" fontId="8" fillId="3" borderId="2" xfId="0" applyNumberFormat="1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4"/>
  <sheetViews>
    <sheetView tabSelected="1" topLeftCell="H1" workbookViewId="0">
      <selection activeCell="T11" sqref="T11"/>
    </sheetView>
  </sheetViews>
  <sheetFormatPr defaultRowHeight="15" x14ac:dyDescent="0.25"/>
  <cols>
    <col min="1" max="1" width="3.140625" style="52" customWidth="1"/>
    <col min="2" max="2" width="36" bestFit="1" customWidth="1"/>
    <col min="3" max="3" width="26.140625" customWidth="1"/>
    <col min="4" max="4" width="26.5703125" bestFit="1" customWidth="1"/>
    <col min="5" max="5" width="29.42578125" bestFit="1" customWidth="1"/>
    <col min="6" max="6" width="29.42578125" customWidth="1"/>
    <col min="7" max="7" width="18.85546875" bestFit="1" customWidth="1"/>
    <col min="8" max="8" width="18.85546875" customWidth="1"/>
    <col min="9" max="9" width="29.42578125" bestFit="1" customWidth="1"/>
    <col min="10" max="10" width="26.85546875" bestFit="1" customWidth="1"/>
    <col min="11" max="12" width="26.85546875" customWidth="1"/>
    <col min="13" max="14" width="26.85546875" bestFit="1" customWidth="1"/>
  </cols>
  <sheetData>
    <row r="1" spans="1:14" ht="16.5" thickBot="1" x14ac:dyDescent="0.3">
      <c r="A1" s="53" t="s">
        <v>285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4" ht="15.75" thickBot="1" x14ac:dyDescent="0.3">
      <c r="A2" s="1" t="s">
        <v>0</v>
      </c>
      <c r="B2" s="2" t="s">
        <v>1</v>
      </c>
      <c r="C2" s="2" t="s">
        <v>2</v>
      </c>
      <c r="D2" s="2" t="s">
        <v>3</v>
      </c>
      <c r="E2" s="3" t="s">
        <v>4</v>
      </c>
      <c r="F2" s="2" t="s">
        <v>5</v>
      </c>
      <c r="G2" s="3" t="s">
        <v>6</v>
      </c>
      <c r="H2" s="2" t="s">
        <v>7</v>
      </c>
      <c r="I2" s="3" t="s">
        <v>8</v>
      </c>
      <c r="J2" s="2" t="s">
        <v>9</v>
      </c>
      <c r="K2" s="4" t="s">
        <v>10</v>
      </c>
      <c r="L2" s="4" t="s">
        <v>11</v>
      </c>
      <c r="M2" s="4" t="s">
        <v>12</v>
      </c>
      <c r="N2" s="4" t="s">
        <v>13</v>
      </c>
    </row>
    <row r="3" spans="1:14" x14ac:dyDescent="0.25">
      <c r="A3" s="5">
        <f>ROW(A3) - ROW($A$2)</f>
        <v>1</v>
      </c>
      <c r="B3" s="6" t="s">
        <v>14</v>
      </c>
      <c r="C3" s="6" t="s">
        <v>15</v>
      </c>
      <c r="D3" s="6" t="s">
        <v>16</v>
      </c>
      <c r="E3" s="7" t="s">
        <v>17</v>
      </c>
      <c r="F3" s="8" t="s">
        <v>18</v>
      </c>
      <c r="G3" s="7" t="s">
        <v>19</v>
      </c>
      <c r="H3" s="6" t="s">
        <v>20</v>
      </c>
      <c r="I3" s="7" t="s">
        <v>21</v>
      </c>
      <c r="J3" s="9">
        <v>4</v>
      </c>
      <c r="K3" s="10">
        <f>J3*10</f>
        <v>40</v>
      </c>
      <c r="L3" s="10">
        <f>J3*100</f>
        <v>400</v>
      </c>
      <c r="M3" s="10">
        <v>45</v>
      </c>
      <c r="N3" s="10">
        <v>420</v>
      </c>
    </row>
    <row r="4" spans="1:14" ht="25.5" x14ac:dyDescent="0.25">
      <c r="A4" s="5">
        <f t="shared" ref="A4:A50" si="0">ROW(A4) - ROW($A$2)</f>
        <v>2</v>
      </c>
      <c r="B4" s="11" t="s">
        <v>22</v>
      </c>
      <c r="C4" s="11" t="s">
        <v>23</v>
      </c>
      <c r="D4" s="11" t="s">
        <v>16</v>
      </c>
      <c r="E4" s="12" t="s">
        <v>24</v>
      </c>
      <c r="F4" s="13" t="s">
        <v>18</v>
      </c>
      <c r="G4" s="12" t="s">
        <v>25</v>
      </c>
      <c r="H4" s="11" t="s">
        <v>26</v>
      </c>
      <c r="I4" s="12" t="s">
        <v>27</v>
      </c>
      <c r="J4" s="14">
        <v>14</v>
      </c>
      <c r="K4" s="15">
        <f t="shared" ref="K4:K50" si="1">J4*10</f>
        <v>140</v>
      </c>
      <c r="L4" s="15">
        <f t="shared" ref="L4:L50" si="2">J4*100</f>
        <v>1400</v>
      </c>
      <c r="M4" s="15">
        <v>200</v>
      </c>
      <c r="N4" s="15">
        <v>1500</v>
      </c>
    </row>
    <row r="5" spans="1:14" x14ac:dyDescent="0.25">
      <c r="A5" s="5">
        <f>ROW(A5) - ROW($A$2)</f>
        <v>3</v>
      </c>
      <c r="B5" s="16" t="s">
        <v>28</v>
      </c>
      <c r="C5" s="16" t="s">
        <v>29</v>
      </c>
      <c r="D5" s="16" t="s">
        <v>30</v>
      </c>
      <c r="E5" s="17" t="s">
        <v>31</v>
      </c>
      <c r="F5" s="16" t="s">
        <v>32</v>
      </c>
      <c r="G5" s="18" t="s">
        <v>33</v>
      </c>
      <c r="H5" s="16" t="s">
        <v>34</v>
      </c>
      <c r="I5" s="18" t="s">
        <v>35</v>
      </c>
      <c r="J5" s="19">
        <v>2</v>
      </c>
      <c r="K5" s="20">
        <f t="shared" si="1"/>
        <v>20</v>
      </c>
      <c r="L5" s="20">
        <f t="shared" si="2"/>
        <v>200</v>
      </c>
      <c r="M5" s="20">
        <v>40</v>
      </c>
      <c r="N5" s="20">
        <v>220</v>
      </c>
    </row>
    <row r="6" spans="1:14" ht="25.5" x14ac:dyDescent="0.25">
      <c r="A6" s="5">
        <f t="shared" si="0"/>
        <v>4</v>
      </c>
      <c r="B6" s="21" t="s">
        <v>36</v>
      </c>
      <c r="C6" s="21" t="s">
        <v>37</v>
      </c>
      <c r="D6" s="21" t="s">
        <v>38</v>
      </c>
      <c r="E6" s="22" t="s">
        <v>39</v>
      </c>
      <c r="F6" s="23" t="s">
        <v>40</v>
      </c>
      <c r="G6" s="22" t="s">
        <v>41</v>
      </c>
      <c r="H6" s="21" t="s">
        <v>42</v>
      </c>
      <c r="I6" s="22" t="s">
        <v>43</v>
      </c>
      <c r="J6" s="14">
        <v>1</v>
      </c>
      <c r="K6" s="15">
        <f t="shared" si="1"/>
        <v>10</v>
      </c>
      <c r="L6" s="15">
        <f t="shared" si="2"/>
        <v>100</v>
      </c>
      <c r="M6" s="15">
        <v>12</v>
      </c>
      <c r="N6" s="15">
        <v>110</v>
      </c>
    </row>
    <row r="7" spans="1:14" x14ac:dyDescent="0.25">
      <c r="A7" s="5">
        <f>ROW(A7) - ROW($A$2)</f>
        <v>5</v>
      </c>
      <c r="B7" s="24" t="s">
        <v>44</v>
      </c>
      <c r="C7" s="24" t="s">
        <v>45</v>
      </c>
      <c r="D7" s="24" t="s">
        <v>16</v>
      </c>
      <c r="E7" s="17" t="s">
        <v>46</v>
      </c>
      <c r="F7" s="24" t="s">
        <v>47</v>
      </c>
      <c r="G7" s="25" t="s">
        <v>33</v>
      </c>
      <c r="H7" s="24" t="s">
        <v>48</v>
      </c>
      <c r="I7" s="25" t="s">
        <v>49</v>
      </c>
      <c r="J7" s="19">
        <v>1</v>
      </c>
      <c r="K7" s="20">
        <f t="shared" si="1"/>
        <v>10</v>
      </c>
      <c r="L7" s="20">
        <f t="shared" si="2"/>
        <v>100</v>
      </c>
      <c r="M7" s="20">
        <v>50</v>
      </c>
      <c r="N7" s="20">
        <v>150</v>
      </c>
    </row>
    <row r="8" spans="1:14" x14ac:dyDescent="0.25">
      <c r="A8" s="5">
        <f t="shared" si="0"/>
        <v>6</v>
      </c>
      <c r="B8" s="21" t="s">
        <v>50</v>
      </c>
      <c r="C8" s="21" t="s">
        <v>51</v>
      </c>
      <c r="D8" s="21" t="s">
        <v>52</v>
      </c>
      <c r="E8" s="22" t="s">
        <v>53</v>
      </c>
      <c r="F8" s="23" t="s">
        <v>40</v>
      </c>
      <c r="G8" s="22" t="s">
        <v>33</v>
      </c>
      <c r="H8" s="21" t="s">
        <v>54</v>
      </c>
      <c r="I8" s="22" t="s">
        <v>55</v>
      </c>
      <c r="J8" s="14">
        <v>1</v>
      </c>
      <c r="K8" s="15">
        <f t="shared" si="1"/>
        <v>10</v>
      </c>
      <c r="L8" s="15">
        <f t="shared" si="2"/>
        <v>100</v>
      </c>
      <c r="M8" s="15">
        <v>50</v>
      </c>
      <c r="N8" s="15">
        <v>150</v>
      </c>
    </row>
    <row r="9" spans="1:14" x14ac:dyDescent="0.25">
      <c r="A9" s="5">
        <f>ROW(A9) - ROW($A$2)</f>
        <v>7</v>
      </c>
      <c r="B9" s="24" t="s">
        <v>56</v>
      </c>
      <c r="C9" s="24" t="s">
        <v>57</v>
      </c>
      <c r="D9" s="24" t="s">
        <v>58</v>
      </c>
      <c r="E9" s="25" t="s">
        <v>59</v>
      </c>
      <c r="F9" s="26" t="s">
        <v>18</v>
      </c>
      <c r="G9" s="25" t="s">
        <v>33</v>
      </c>
      <c r="H9" s="24" t="s">
        <v>60</v>
      </c>
      <c r="I9" s="25" t="s">
        <v>61</v>
      </c>
      <c r="J9" s="19">
        <v>2</v>
      </c>
      <c r="K9" s="20">
        <f t="shared" si="1"/>
        <v>20</v>
      </c>
      <c r="L9" s="20">
        <f t="shared" si="2"/>
        <v>200</v>
      </c>
      <c r="M9" s="20">
        <v>25</v>
      </c>
      <c r="N9" s="20">
        <v>210</v>
      </c>
    </row>
    <row r="10" spans="1:14" x14ac:dyDescent="0.25">
      <c r="A10" s="5">
        <f t="shared" si="0"/>
        <v>8</v>
      </c>
      <c r="B10" s="21" t="s">
        <v>62</v>
      </c>
      <c r="C10" s="21" t="s">
        <v>63</v>
      </c>
      <c r="D10" s="21" t="s">
        <v>64</v>
      </c>
      <c r="E10" s="22" t="s">
        <v>65</v>
      </c>
      <c r="F10" s="23" t="s">
        <v>18</v>
      </c>
      <c r="G10" s="22" t="s">
        <v>19</v>
      </c>
      <c r="H10" s="21" t="s">
        <v>66</v>
      </c>
      <c r="I10" s="22" t="s">
        <v>67</v>
      </c>
      <c r="J10" s="14">
        <v>2</v>
      </c>
      <c r="K10" s="15">
        <f t="shared" si="1"/>
        <v>20</v>
      </c>
      <c r="L10" s="15">
        <f t="shared" si="2"/>
        <v>200</v>
      </c>
      <c r="M10" s="15">
        <v>40</v>
      </c>
      <c r="N10" s="15">
        <v>220</v>
      </c>
    </row>
    <row r="11" spans="1:14" ht="25.5" x14ac:dyDescent="0.25">
      <c r="A11" s="5">
        <f>ROW(A11) - ROW($A$2)</f>
        <v>9</v>
      </c>
      <c r="B11" s="24" t="s">
        <v>68</v>
      </c>
      <c r="C11" s="24" t="s">
        <v>69</v>
      </c>
      <c r="D11" s="24" t="s">
        <v>16</v>
      </c>
      <c r="E11" s="25" t="s">
        <v>70</v>
      </c>
      <c r="F11" s="26" t="s">
        <v>18</v>
      </c>
      <c r="G11" s="25" t="s">
        <v>33</v>
      </c>
      <c r="H11" s="24" t="s">
        <v>71</v>
      </c>
      <c r="I11" s="25" t="s">
        <v>72</v>
      </c>
      <c r="J11" s="19">
        <v>2</v>
      </c>
      <c r="K11" s="20">
        <f t="shared" si="1"/>
        <v>20</v>
      </c>
      <c r="L11" s="20">
        <f t="shared" si="2"/>
        <v>200</v>
      </c>
      <c r="M11" s="20">
        <v>50</v>
      </c>
      <c r="N11" s="20">
        <v>250</v>
      </c>
    </row>
    <row r="12" spans="1:14" x14ac:dyDescent="0.25">
      <c r="A12" s="5">
        <f t="shared" si="0"/>
        <v>10</v>
      </c>
      <c r="B12" s="21" t="s">
        <v>73</v>
      </c>
      <c r="C12" s="21" t="s">
        <v>74</v>
      </c>
      <c r="D12" s="21" t="s">
        <v>64</v>
      </c>
      <c r="E12" s="22" t="s">
        <v>75</v>
      </c>
      <c r="F12" s="23" t="s">
        <v>40</v>
      </c>
      <c r="G12" s="22" t="s">
        <v>76</v>
      </c>
      <c r="H12" s="21" t="s">
        <v>77</v>
      </c>
      <c r="I12" s="22" t="s">
        <v>21</v>
      </c>
      <c r="J12" s="14">
        <v>2</v>
      </c>
      <c r="K12" s="15">
        <f t="shared" si="1"/>
        <v>20</v>
      </c>
      <c r="L12" s="15">
        <f t="shared" si="2"/>
        <v>200</v>
      </c>
      <c r="M12" s="15">
        <v>40</v>
      </c>
      <c r="N12" s="15">
        <v>220</v>
      </c>
    </row>
    <row r="13" spans="1:14" x14ac:dyDescent="0.25">
      <c r="A13" s="5">
        <f>ROW(A13) - ROW($A$2)</f>
        <v>11</v>
      </c>
      <c r="B13" s="24" t="s">
        <v>78</v>
      </c>
      <c r="C13" s="24" t="s">
        <v>79</v>
      </c>
      <c r="D13" s="24" t="s">
        <v>16</v>
      </c>
      <c r="E13" s="25" t="s">
        <v>80</v>
      </c>
      <c r="F13" s="26" t="s">
        <v>18</v>
      </c>
      <c r="G13" s="25" t="s">
        <v>33</v>
      </c>
      <c r="H13" s="24" t="s">
        <v>81</v>
      </c>
      <c r="I13" s="25" t="s">
        <v>82</v>
      </c>
      <c r="J13" s="19">
        <v>1</v>
      </c>
      <c r="K13" s="20">
        <f t="shared" si="1"/>
        <v>10</v>
      </c>
      <c r="L13" s="20">
        <f t="shared" si="2"/>
        <v>100</v>
      </c>
      <c r="M13" s="20">
        <v>50</v>
      </c>
      <c r="N13" s="20">
        <v>150</v>
      </c>
    </row>
    <row r="14" spans="1:14" ht="25.5" x14ac:dyDescent="0.25">
      <c r="A14" s="5">
        <f t="shared" si="0"/>
        <v>12</v>
      </c>
      <c r="B14" s="21" t="s">
        <v>83</v>
      </c>
      <c r="C14" s="21" t="s">
        <v>84</v>
      </c>
      <c r="D14" s="21" t="s">
        <v>16</v>
      </c>
      <c r="E14" s="22" t="s">
        <v>85</v>
      </c>
      <c r="F14" s="23" t="s">
        <v>86</v>
      </c>
      <c r="G14" s="22" t="s">
        <v>25</v>
      </c>
      <c r="H14" s="21" t="s">
        <v>87</v>
      </c>
      <c r="I14" s="22" t="s">
        <v>88</v>
      </c>
      <c r="J14" s="14">
        <v>1</v>
      </c>
      <c r="K14" s="15">
        <f t="shared" si="1"/>
        <v>10</v>
      </c>
      <c r="L14" s="15">
        <f t="shared" si="2"/>
        <v>100</v>
      </c>
      <c r="M14" s="15">
        <v>100</v>
      </c>
      <c r="N14" s="15">
        <v>200</v>
      </c>
    </row>
    <row r="15" spans="1:14" x14ac:dyDescent="0.25">
      <c r="A15" s="5">
        <f>ROW(A15) - ROW($A$2)</f>
        <v>13</v>
      </c>
      <c r="B15" s="24" t="s">
        <v>89</v>
      </c>
      <c r="C15" s="24" t="s">
        <v>90</v>
      </c>
      <c r="D15" s="24" t="s">
        <v>52</v>
      </c>
      <c r="E15" s="17" t="s">
        <v>91</v>
      </c>
      <c r="F15" s="24" t="s">
        <v>92</v>
      </c>
      <c r="G15" s="25" t="s">
        <v>33</v>
      </c>
      <c r="H15" s="24" t="s">
        <v>93</v>
      </c>
      <c r="I15" s="25" t="s">
        <v>94</v>
      </c>
      <c r="J15" s="19">
        <v>2</v>
      </c>
      <c r="K15" s="20">
        <f t="shared" si="1"/>
        <v>20</v>
      </c>
      <c r="L15" s="20">
        <f t="shared" si="2"/>
        <v>200</v>
      </c>
      <c r="M15" s="20">
        <v>100</v>
      </c>
      <c r="N15" s="20">
        <v>300</v>
      </c>
    </row>
    <row r="16" spans="1:14" ht="25.5" x14ac:dyDescent="0.25">
      <c r="A16" s="5">
        <f t="shared" si="0"/>
        <v>14</v>
      </c>
      <c r="B16" s="21" t="s">
        <v>95</v>
      </c>
      <c r="C16" s="21" t="s">
        <v>96</v>
      </c>
      <c r="D16" s="21" t="s">
        <v>97</v>
      </c>
      <c r="E16" s="27" t="s">
        <v>98</v>
      </c>
      <c r="F16" s="21" t="s">
        <v>99</v>
      </c>
      <c r="G16" s="22" t="s">
        <v>100</v>
      </c>
      <c r="H16" s="21" t="s">
        <v>101</v>
      </c>
      <c r="I16" s="28" t="s">
        <v>86</v>
      </c>
      <c r="J16" s="14">
        <v>2</v>
      </c>
      <c r="K16" s="15">
        <f t="shared" si="1"/>
        <v>20</v>
      </c>
      <c r="L16" s="15">
        <f t="shared" si="2"/>
        <v>200</v>
      </c>
      <c r="M16" s="15">
        <v>22</v>
      </c>
      <c r="N16" s="15">
        <v>210</v>
      </c>
    </row>
    <row r="17" spans="1:14" x14ac:dyDescent="0.25">
      <c r="A17" s="5">
        <f>ROW(A17) - ROW($A$2)</f>
        <v>15</v>
      </c>
      <c r="B17" s="24" t="s">
        <v>102</v>
      </c>
      <c r="C17" s="24" t="s">
        <v>103</v>
      </c>
      <c r="D17" s="24">
        <v>1812</v>
      </c>
      <c r="E17" s="25" t="s">
        <v>104</v>
      </c>
      <c r="F17" s="26" t="s">
        <v>18</v>
      </c>
      <c r="G17" s="25" t="s">
        <v>105</v>
      </c>
      <c r="H17" s="24" t="s">
        <v>106</v>
      </c>
      <c r="I17" s="29" t="s">
        <v>86</v>
      </c>
      <c r="J17" s="19">
        <v>1</v>
      </c>
      <c r="K17" s="20">
        <f t="shared" si="1"/>
        <v>10</v>
      </c>
      <c r="L17" s="20">
        <f t="shared" si="2"/>
        <v>100</v>
      </c>
      <c r="M17" s="20">
        <v>12</v>
      </c>
      <c r="N17" s="20">
        <v>110</v>
      </c>
    </row>
    <row r="18" spans="1:14" ht="25.5" x14ac:dyDescent="0.25">
      <c r="A18" s="5">
        <f t="shared" si="0"/>
        <v>16</v>
      </c>
      <c r="B18" s="21" t="s">
        <v>107</v>
      </c>
      <c r="C18" s="21" t="s">
        <v>108</v>
      </c>
      <c r="D18" s="21" t="s">
        <v>109</v>
      </c>
      <c r="E18" s="22" t="s">
        <v>110</v>
      </c>
      <c r="F18" s="23" t="s">
        <v>40</v>
      </c>
      <c r="G18" s="22" t="s">
        <v>111</v>
      </c>
      <c r="H18" s="21" t="s">
        <v>112</v>
      </c>
      <c r="I18" s="28" t="s">
        <v>40</v>
      </c>
      <c r="J18" s="14">
        <v>1</v>
      </c>
      <c r="K18" s="15">
        <f t="shared" si="1"/>
        <v>10</v>
      </c>
      <c r="L18" s="15">
        <f t="shared" si="2"/>
        <v>100</v>
      </c>
      <c r="M18" s="15">
        <v>20</v>
      </c>
      <c r="N18" s="15">
        <v>120</v>
      </c>
    </row>
    <row r="19" spans="1:14" x14ac:dyDescent="0.25">
      <c r="A19" s="5">
        <f>ROW(A19) - ROW($A$2)</f>
        <v>17</v>
      </c>
      <c r="B19" s="24" t="s">
        <v>113</v>
      </c>
      <c r="C19" s="24" t="s">
        <v>114</v>
      </c>
      <c r="D19" s="24" t="s">
        <v>38</v>
      </c>
      <c r="E19" s="25" t="s">
        <v>114</v>
      </c>
      <c r="F19" s="26" t="s">
        <v>18</v>
      </c>
      <c r="G19" s="29" t="s">
        <v>18</v>
      </c>
      <c r="H19" s="26" t="s">
        <v>18</v>
      </c>
      <c r="I19" s="29" t="s">
        <v>86</v>
      </c>
      <c r="J19" s="19">
        <v>7</v>
      </c>
      <c r="K19" s="20">
        <f t="shared" si="1"/>
        <v>70</v>
      </c>
      <c r="L19" s="20">
        <f t="shared" si="2"/>
        <v>700</v>
      </c>
      <c r="M19" s="30" t="s">
        <v>18</v>
      </c>
      <c r="N19" s="30" t="s">
        <v>18</v>
      </c>
    </row>
    <row r="20" spans="1:14" ht="25.5" x14ac:dyDescent="0.25">
      <c r="A20" s="5">
        <f t="shared" si="0"/>
        <v>18</v>
      </c>
      <c r="B20" s="21" t="s">
        <v>115</v>
      </c>
      <c r="C20" s="21" t="s">
        <v>116</v>
      </c>
      <c r="D20" s="21" t="s">
        <v>38</v>
      </c>
      <c r="E20" s="27">
        <v>1729225</v>
      </c>
      <c r="F20" s="21" t="s">
        <v>117</v>
      </c>
      <c r="G20" s="22" t="s">
        <v>118</v>
      </c>
      <c r="H20" s="21" t="s">
        <v>119</v>
      </c>
      <c r="I20" s="28" t="s">
        <v>40</v>
      </c>
      <c r="J20" s="14">
        <v>1</v>
      </c>
      <c r="K20" s="15">
        <f t="shared" si="1"/>
        <v>10</v>
      </c>
      <c r="L20" s="15">
        <f t="shared" si="2"/>
        <v>100</v>
      </c>
      <c r="M20" s="15">
        <v>12</v>
      </c>
      <c r="N20" s="15">
        <v>105</v>
      </c>
    </row>
    <row r="21" spans="1:14" ht="38.25" x14ac:dyDescent="0.25">
      <c r="A21" s="5">
        <f>ROW(A21) - ROW($A$2)</f>
        <v>19</v>
      </c>
      <c r="B21" s="24" t="s">
        <v>120</v>
      </c>
      <c r="C21" s="24" t="s">
        <v>121</v>
      </c>
      <c r="D21" s="24" t="s">
        <v>38</v>
      </c>
      <c r="E21" s="25" t="s">
        <v>122</v>
      </c>
      <c r="F21" s="26" t="s">
        <v>18</v>
      </c>
      <c r="G21" s="25" t="s">
        <v>123</v>
      </c>
      <c r="H21" s="24" t="s">
        <v>124</v>
      </c>
      <c r="I21" s="29" t="s">
        <v>125</v>
      </c>
      <c r="J21" s="19">
        <v>1</v>
      </c>
      <c r="K21" s="20">
        <f t="shared" si="1"/>
        <v>10</v>
      </c>
      <c r="L21" s="20">
        <f t="shared" si="2"/>
        <v>100</v>
      </c>
      <c r="M21" s="20">
        <v>12</v>
      </c>
      <c r="N21" s="20">
        <v>110</v>
      </c>
    </row>
    <row r="22" spans="1:14" ht="51" x14ac:dyDescent="0.25">
      <c r="A22" s="5">
        <f t="shared" si="0"/>
        <v>20</v>
      </c>
      <c r="B22" s="21" t="s">
        <v>126</v>
      </c>
      <c r="C22" s="21" t="s">
        <v>127</v>
      </c>
      <c r="D22" s="21" t="s">
        <v>128</v>
      </c>
      <c r="E22" s="22" t="s">
        <v>129</v>
      </c>
      <c r="F22" s="23" t="s">
        <v>18</v>
      </c>
      <c r="G22" s="22" t="s">
        <v>130</v>
      </c>
      <c r="H22" s="21" t="s">
        <v>131</v>
      </c>
      <c r="I22" s="28" t="s">
        <v>18</v>
      </c>
      <c r="J22" s="14">
        <v>22</v>
      </c>
      <c r="K22" s="15">
        <f t="shared" si="1"/>
        <v>220</v>
      </c>
      <c r="L22" s="15">
        <f t="shared" si="2"/>
        <v>2200</v>
      </c>
      <c r="M22" s="15">
        <v>240</v>
      </c>
      <c r="N22" s="15">
        <v>2260</v>
      </c>
    </row>
    <row r="23" spans="1:14" ht="25.5" x14ac:dyDescent="0.25">
      <c r="A23" s="5">
        <f>ROW(A23) - ROW($A$2)</f>
        <v>21</v>
      </c>
      <c r="B23" s="24" t="s">
        <v>132</v>
      </c>
      <c r="C23" s="24" t="s">
        <v>133</v>
      </c>
      <c r="D23" s="24" t="s">
        <v>38</v>
      </c>
      <c r="E23" s="25" t="s">
        <v>134</v>
      </c>
      <c r="F23" s="26" t="s">
        <v>86</v>
      </c>
      <c r="G23" s="25" t="s">
        <v>135</v>
      </c>
      <c r="H23" s="24"/>
      <c r="I23" s="25" t="s">
        <v>136</v>
      </c>
      <c r="J23" s="19">
        <v>1</v>
      </c>
      <c r="K23" s="20">
        <f t="shared" si="1"/>
        <v>10</v>
      </c>
      <c r="L23" s="20">
        <f t="shared" si="2"/>
        <v>100</v>
      </c>
      <c r="M23" s="20">
        <v>20</v>
      </c>
      <c r="N23" s="20">
        <v>110</v>
      </c>
    </row>
    <row r="24" spans="1:14" ht="25.5" x14ac:dyDescent="0.25">
      <c r="A24" s="5">
        <f t="shared" si="0"/>
        <v>22</v>
      </c>
      <c r="B24" s="21" t="s">
        <v>137</v>
      </c>
      <c r="C24" s="21" t="s">
        <v>138</v>
      </c>
      <c r="D24" s="21" t="s">
        <v>38</v>
      </c>
      <c r="E24" s="22">
        <v>22232111</v>
      </c>
      <c r="F24" s="21"/>
      <c r="G24" s="22" t="s">
        <v>139</v>
      </c>
      <c r="H24" s="21"/>
      <c r="I24" s="22"/>
      <c r="J24" s="14">
        <v>2</v>
      </c>
      <c r="K24" s="15">
        <f t="shared" si="1"/>
        <v>20</v>
      </c>
      <c r="L24" s="15">
        <f t="shared" si="2"/>
        <v>200</v>
      </c>
      <c r="M24" s="15">
        <v>22</v>
      </c>
      <c r="N24" s="15">
        <v>205</v>
      </c>
    </row>
    <row r="25" spans="1:14" ht="25.5" x14ac:dyDescent="0.25">
      <c r="A25" s="5">
        <f>ROW(A25) - ROW($A$2)</f>
        <v>23</v>
      </c>
      <c r="B25" s="24" t="s">
        <v>140</v>
      </c>
      <c r="C25" s="24" t="s">
        <v>141</v>
      </c>
      <c r="D25" s="24" t="s">
        <v>142</v>
      </c>
      <c r="E25" s="25" t="s">
        <v>143</v>
      </c>
      <c r="F25" s="26" t="s">
        <v>86</v>
      </c>
      <c r="G25" s="25" t="s">
        <v>144</v>
      </c>
      <c r="H25" s="26" t="s">
        <v>18</v>
      </c>
      <c r="I25" s="29" t="s">
        <v>18</v>
      </c>
      <c r="J25" s="19">
        <v>1</v>
      </c>
      <c r="K25" s="20">
        <f t="shared" si="1"/>
        <v>10</v>
      </c>
      <c r="L25" s="20">
        <f t="shared" si="2"/>
        <v>100</v>
      </c>
      <c r="M25" s="20">
        <v>275</v>
      </c>
      <c r="N25" s="20">
        <v>275</v>
      </c>
    </row>
    <row r="26" spans="1:14" ht="38.25" x14ac:dyDescent="0.25">
      <c r="A26" s="5">
        <f>ROW(A26) - ROW($A$2)</f>
        <v>24</v>
      </c>
      <c r="B26" s="24" t="s">
        <v>145</v>
      </c>
      <c r="C26" s="24" t="s">
        <v>146</v>
      </c>
      <c r="D26" s="24" t="s">
        <v>147</v>
      </c>
      <c r="E26" s="25" t="s">
        <v>148</v>
      </c>
      <c r="F26" s="26" t="s">
        <v>18</v>
      </c>
      <c r="G26" s="25" t="s">
        <v>149</v>
      </c>
      <c r="H26" s="26" t="s">
        <v>40</v>
      </c>
      <c r="I26" s="29" t="s">
        <v>86</v>
      </c>
      <c r="J26" s="19">
        <v>20</v>
      </c>
      <c r="K26" s="20">
        <f t="shared" si="1"/>
        <v>200</v>
      </c>
      <c r="L26" s="20">
        <f t="shared" si="2"/>
        <v>2000</v>
      </c>
      <c r="M26" s="20">
        <v>500</v>
      </c>
      <c r="N26" s="20">
        <v>2000</v>
      </c>
    </row>
    <row r="27" spans="1:14" ht="76.5" x14ac:dyDescent="0.25">
      <c r="A27" s="5">
        <f t="shared" si="0"/>
        <v>25</v>
      </c>
      <c r="B27" s="11" t="s">
        <v>150</v>
      </c>
      <c r="C27" s="11" t="s">
        <v>151</v>
      </c>
      <c r="D27" s="11" t="s">
        <v>147</v>
      </c>
      <c r="E27" s="12" t="s">
        <v>152</v>
      </c>
      <c r="F27" s="13" t="s">
        <v>86</v>
      </c>
      <c r="G27" s="12" t="s">
        <v>153</v>
      </c>
      <c r="H27" s="11" t="s">
        <v>154</v>
      </c>
      <c r="I27" s="31" t="s">
        <v>18</v>
      </c>
      <c r="J27" s="14">
        <v>45</v>
      </c>
      <c r="K27" s="15">
        <f t="shared" si="1"/>
        <v>450</v>
      </c>
      <c r="L27" s="15">
        <f t="shared" si="2"/>
        <v>4500</v>
      </c>
      <c r="M27" s="15">
        <v>500</v>
      </c>
      <c r="N27" s="15">
        <v>4600</v>
      </c>
    </row>
    <row r="28" spans="1:14" ht="76.5" x14ac:dyDescent="0.25">
      <c r="A28" s="5">
        <f>ROW(A28) - ROW($A$2)</f>
        <v>26</v>
      </c>
      <c r="B28" s="16" t="s">
        <v>155</v>
      </c>
      <c r="C28" s="16" t="s">
        <v>156</v>
      </c>
      <c r="D28" s="16" t="s">
        <v>157</v>
      </c>
      <c r="E28" s="18" t="s">
        <v>158</v>
      </c>
      <c r="F28" s="32" t="s">
        <v>40</v>
      </c>
      <c r="G28" s="18" t="s">
        <v>159</v>
      </c>
      <c r="H28" s="16" t="s">
        <v>160</v>
      </c>
      <c r="I28" s="18" t="s">
        <v>161</v>
      </c>
      <c r="J28" s="19">
        <v>46</v>
      </c>
      <c r="K28" s="20">
        <f t="shared" si="1"/>
        <v>460</v>
      </c>
      <c r="L28" s="20">
        <f t="shared" si="2"/>
        <v>4600</v>
      </c>
      <c r="M28" s="20">
        <v>500</v>
      </c>
      <c r="N28" s="20">
        <v>4700</v>
      </c>
    </row>
    <row r="29" spans="1:14" x14ac:dyDescent="0.25">
      <c r="A29" s="5">
        <v>27</v>
      </c>
      <c r="B29" s="16" t="s">
        <v>162</v>
      </c>
      <c r="C29" s="16" t="s">
        <v>163</v>
      </c>
      <c r="D29" s="16" t="s">
        <v>157</v>
      </c>
      <c r="E29" s="17" t="s">
        <v>164</v>
      </c>
      <c r="F29" s="32" t="s">
        <v>165</v>
      </c>
      <c r="G29" s="18" t="s">
        <v>41</v>
      </c>
      <c r="H29" s="16" t="s">
        <v>166</v>
      </c>
      <c r="I29" s="18" t="s">
        <v>161</v>
      </c>
      <c r="J29" s="19">
        <v>6</v>
      </c>
      <c r="K29" s="20">
        <f t="shared" si="1"/>
        <v>60</v>
      </c>
      <c r="L29" s="20">
        <f t="shared" si="2"/>
        <v>600</v>
      </c>
      <c r="M29" s="20">
        <v>100</v>
      </c>
      <c r="N29" s="20">
        <v>700</v>
      </c>
    </row>
    <row r="30" spans="1:14" ht="25.5" x14ac:dyDescent="0.25">
      <c r="A30" s="5">
        <f t="shared" si="0"/>
        <v>28</v>
      </c>
      <c r="B30" s="21" t="s">
        <v>167</v>
      </c>
      <c r="C30" s="21" t="s">
        <v>168</v>
      </c>
      <c r="D30" s="21" t="s">
        <v>157</v>
      </c>
      <c r="E30" s="22" t="s">
        <v>169</v>
      </c>
      <c r="F30" s="23" t="s">
        <v>86</v>
      </c>
      <c r="G30" s="22" t="s">
        <v>25</v>
      </c>
      <c r="H30" s="21" t="s">
        <v>170</v>
      </c>
      <c r="I30" s="22" t="s">
        <v>171</v>
      </c>
      <c r="J30" s="14">
        <v>1</v>
      </c>
      <c r="K30" s="15">
        <f t="shared" si="1"/>
        <v>10</v>
      </c>
      <c r="L30" s="15">
        <f t="shared" si="2"/>
        <v>100</v>
      </c>
      <c r="M30" s="15">
        <v>100</v>
      </c>
      <c r="N30" s="15">
        <v>200</v>
      </c>
    </row>
    <row r="31" spans="1:14" ht="25.5" x14ac:dyDescent="0.25">
      <c r="A31" s="5">
        <f t="shared" si="0"/>
        <v>29</v>
      </c>
      <c r="B31" s="11" t="s">
        <v>172</v>
      </c>
      <c r="C31" s="11" t="s">
        <v>173</v>
      </c>
      <c r="D31" s="11" t="s">
        <v>174</v>
      </c>
      <c r="E31" s="12" t="s">
        <v>175</v>
      </c>
      <c r="F31" s="13" t="s">
        <v>40</v>
      </c>
      <c r="G31" s="12" t="s">
        <v>25</v>
      </c>
      <c r="H31" s="11" t="s">
        <v>176</v>
      </c>
      <c r="I31" s="12" t="s">
        <v>177</v>
      </c>
      <c r="J31" s="14">
        <v>5</v>
      </c>
      <c r="K31" s="15">
        <f t="shared" si="1"/>
        <v>50</v>
      </c>
      <c r="L31" s="15">
        <f t="shared" si="2"/>
        <v>500</v>
      </c>
      <c r="M31" s="15">
        <v>100</v>
      </c>
      <c r="N31" s="15">
        <v>600</v>
      </c>
    </row>
    <row r="32" spans="1:14" ht="25.5" x14ac:dyDescent="0.25">
      <c r="A32" s="5">
        <f>ROW(A32) - ROW($A$2)</f>
        <v>30</v>
      </c>
      <c r="B32" s="24" t="s">
        <v>178</v>
      </c>
      <c r="C32" s="24" t="s">
        <v>179</v>
      </c>
      <c r="D32" s="24" t="s">
        <v>157</v>
      </c>
      <c r="E32" s="25" t="s">
        <v>180</v>
      </c>
      <c r="F32" s="26" t="s">
        <v>18</v>
      </c>
      <c r="G32" s="25" t="s">
        <v>25</v>
      </c>
      <c r="H32" s="24" t="s">
        <v>181</v>
      </c>
      <c r="I32" s="25" t="s">
        <v>182</v>
      </c>
      <c r="J32" s="19">
        <v>1</v>
      </c>
      <c r="K32" s="20">
        <f t="shared" si="1"/>
        <v>10</v>
      </c>
      <c r="L32" s="20">
        <f t="shared" si="2"/>
        <v>100</v>
      </c>
      <c r="M32" s="20">
        <v>100</v>
      </c>
      <c r="N32" s="20">
        <v>200</v>
      </c>
    </row>
    <row r="33" spans="1:14" ht="25.5" x14ac:dyDescent="0.25">
      <c r="A33" s="5">
        <f t="shared" si="0"/>
        <v>31</v>
      </c>
      <c r="B33" s="21" t="s">
        <v>183</v>
      </c>
      <c r="C33" s="21" t="s">
        <v>184</v>
      </c>
      <c r="D33" s="21" t="s">
        <v>157</v>
      </c>
      <c r="E33" s="22" t="s">
        <v>185</v>
      </c>
      <c r="F33" s="23" t="s">
        <v>40</v>
      </c>
      <c r="G33" s="22" t="s">
        <v>25</v>
      </c>
      <c r="H33" s="21" t="s">
        <v>186</v>
      </c>
      <c r="I33" s="22" t="s">
        <v>187</v>
      </c>
      <c r="J33" s="14">
        <v>2</v>
      </c>
      <c r="K33" s="15">
        <f t="shared" si="1"/>
        <v>20</v>
      </c>
      <c r="L33" s="15">
        <f t="shared" si="2"/>
        <v>200</v>
      </c>
      <c r="M33" s="15">
        <v>100</v>
      </c>
      <c r="N33" s="15">
        <v>300</v>
      </c>
    </row>
    <row r="34" spans="1:14" ht="25.5" x14ac:dyDescent="0.25">
      <c r="A34" s="5">
        <f>ROW(A34) - ROW($A$2)</f>
        <v>32</v>
      </c>
      <c r="B34" s="24" t="s">
        <v>188</v>
      </c>
      <c r="C34" s="24" t="s">
        <v>189</v>
      </c>
      <c r="D34" s="24" t="s">
        <v>157</v>
      </c>
      <c r="E34" s="25" t="s">
        <v>190</v>
      </c>
      <c r="F34" s="26" t="s">
        <v>18</v>
      </c>
      <c r="G34" s="25" t="s">
        <v>25</v>
      </c>
      <c r="H34" s="24" t="s">
        <v>191</v>
      </c>
      <c r="I34" s="25" t="s">
        <v>192</v>
      </c>
      <c r="J34" s="19">
        <v>1</v>
      </c>
      <c r="K34" s="20">
        <f t="shared" si="1"/>
        <v>10</v>
      </c>
      <c r="L34" s="20">
        <f t="shared" si="2"/>
        <v>100</v>
      </c>
      <c r="M34" s="20">
        <v>100</v>
      </c>
      <c r="N34" s="20">
        <v>200</v>
      </c>
    </row>
    <row r="35" spans="1:14" ht="25.5" x14ac:dyDescent="0.25">
      <c r="A35" s="5">
        <f t="shared" si="0"/>
        <v>33</v>
      </c>
      <c r="B35" s="21" t="s">
        <v>193</v>
      </c>
      <c r="C35" s="21" t="s">
        <v>194</v>
      </c>
      <c r="D35" s="21" t="s">
        <v>157</v>
      </c>
      <c r="E35" s="22" t="s">
        <v>195</v>
      </c>
      <c r="F35" s="23" t="s">
        <v>18</v>
      </c>
      <c r="G35" s="22" t="s">
        <v>25</v>
      </c>
      <c r="H35" s="21" t="s">
        <v>196</v>
      </c>
      <c r="I35" s="22" t="s">
        <v>197</v>
      </c>
      <c r="J35" s="14">
        <v>1</v>
      </c>
      <c r="K35" s="15">
        <f t="shared" si="1"/>
        <v>10</v>
      </c>
      <c r="L35" s="15">
        <f t="shared" si="2"/>
        <v>100</v>
      </c>
      <c r="M35" s="15">
        <v>100</v>
      </c>
      <c r="N35" s="15">
        <v>200</v>
      </c>
    </row>
    <row r="36" spans="1:14" x14ac:dyDescent="0.25">
      <c r="A36" s="5">
        <f>ROW(A36) - ROW($A$2)</f>
        <v>34</v>
      </c>
      <c r="B36" s="24" t="s">
        <v>198</v>
      </c>
      <c r="C36" s="24" t="s">
        <v>199</v>
      </c>
      <c r="D36" s="24" t="s">
        <v>157</v>
      </c>
      <c r="E36" s="17" t="s">
        <v>200</v>
      </c>
      <c r="F36" s="24" t="s">
        <v>201</v>
      </c>
      <c r="G36" s="25" t="s">
        <v>25</v>
      </c>
      <c r="H36" s="24" t="s">
        <v>202</v>
      </c>
      <c r="I36" s="25" t="s">
        <v>203</v>
      </c>
      <c r="J36" s="19">
        <v>5</v>
      </c>
      <c r="K36" s="20">
        <f t="shared" si="1"/>
        <v>50</v>
      </c>
      <c r="L36" s="20">
        <f t="shared" si="2"/>
        <v>500</v>
      </c>
      <c r="M36" s="20">
        <v>100</v>
      </c>
      <c r="N36" s="20">
        <v>600</v>
      </c>
    </row>
    <row r="37" spans="1:14" ht="25.5" x14ac:dyDescent="0.25">
      <c r="A37" s="5">
        <f>ROW(A37) - ROW($A$2)</f>
        <v>35</v>
      </c>
      <c r="B37" s="24" t="s">
        <v>204</v>
      </c>
      <c r="C37" s="24" t="s">
        <v>205</v>
      </c>
      <c r="D37" s="24" t="s">
        <v>157</v>
      </c>
      <c r="E37" s="17" t="s">
        <v>206</v>
      </c>
      <c r="F37" s="24" t="s">
        <v>207</v>
      </c>
      <c r="G37" s="25" t="s">
        <v>25</v>
      </c>
      <c r="H37" s="24" t="s">
        <v>208</v>
      </c>
      <c r="I37" s="25" t="s">
        <v>209</v>
      </c>
      <c r="J37" s="19">
        <v>2</v>
      </c>
      <c r="K37" s="20">
        <f t="shared" si="1"/>
        <v>20</v>
      </c>
      <c r="L37" s="20">
        <f t="shared" si="2"/>
        <v>200</v>
      </c>
      <c r="M37" s="20">
        <v>100</v>
      </c>
      <c r="N37" s="20">
        <v>300</v>
      </c>
    </row>
    <row r="38" spans="1:14" ht="25.5" x14ac:dyDescent="0.25">
      <c r="A38" s="5">
        <f t="shared" si="0"/>
        <v>36</v>
      </c>
      <c r="B38" s="21" t="s">
        <v>210</v>
      </c>
      <c r="C38" s="21" t="s">
        <v>211</v>
      </c>
      <c r="D38" s="21" t="s">
        <v>157</v>
      </c>
      <c r="E38" s="22" t="s">
        <v>212</v>
      </c>
      <c r="F38" s="23" t="s">
        <v>86</v>
      </c>
      <c r="G38" s="22" t="s">
        <v>25</v>
      </c>
      <c r="H38" s="21" t="s">
        <v>213</v>
      </c>
      <c r="I38" s="22" t="s">
        <v>214</v>
      </c>
      <c r="J38" s="14">
        <v>4</v>
      </c>
      <c r="K38" s="15">
        <f t="shared" si="1"/>
        <v>40</v>
      </c>
      <c r="L38" s="15">
        <f t="shared" si="2"/>
        <v>400</v>
      </c>
      <c r="M38" s="15">
        <v>100</v>
      </c>
      <c r="N38" s="15">
        <v>500</v>
      </c>
    </row>
    <row r="39" spans="1:14" ht="38.25" x14ac:dyDescent="0.25">
      <c r="A39" s="5">
        <f>ROW(A39) - ROW($A$2)</f>
        <v>37</v>
      </c>
      <c r="B39" s="16" t="s">
        <v>215</v>
      </c>
      <c r="C39" s="16" t="s">
        <v>216</v>
      </c>
      <c r="D39" s="16" t="s">
        <v>157</v>
      </c>
      <c r="E39" s="18" t="s">
        <v>217</v>
      </c>
      <c r="F39" s="32" t="s">
        <v>18</v>
      </c>
      <c r="G39" s="18" t="s">
        <v>25</v>
      </c>
      <c r="H39" s="16" t="s">
        <v>218</v>
      </c>
      <c r="I39" s="18" t="s">
        <v>219</v>
      </c>
      <c r="J39" s="19">
        <v>20</v>
      </c>
      <c r="K39" s="20">
        <f t="shared" si="1"/>
        <v>200</v>
      </c>
      <c r="L39" s="20">
        <f t="shared" si="2"/>
        <v>2000</v>
      </c>
      <c r="M39" s="20">
        <v>300</v>
      </c>
      <c r="N39" s="20">
        <v>2100</v>
      </c>
    </row>
    <row r="40" spans="1:14" ht="25.5" x14ac:dyDescent="0.25">
      <c r="A40" s="5">
        <f t="shared" si="0"/>
        <v>38</v>
      </c>
      <c r="B40" s="21" t="s">
        <v>220</v>
      </c>
      <c r="C40" s="21" t="s">
        <v>221</v>
      </c>
      <c r="D40" s="21" t="s">
        <v>157</v>
      </c>
      <c r="E40" s="22" t="s">
        <v>222</v>
      </c>
      <c r="F40" s="23" t="s">
        <v>18</v>
      </c>
      <c r="G40" s="22" t="s">
        <v>25</v>
      </c>
      <c r="H40" s="21" t="s">
        <v>223</v>
      </c>
      <c r="I40" s="22" t="s">
        <v>224</v>
      </c>
      <c r="J40" s="14">
        <v>1</v>
      </c>
      <c r="K40" s="15">
        <f t="shared" si="1"/>
        <v>10</v>
      </c>
      <c r="L40" s="15">
        <f t="shared" si="2"/>
        <v>100</v>
      </c>
      <c r="M40" s="15">
        <v>100</v>
      </c>
      <c r="N40" s="15">
        <v>200</v>
      </c>
    </row>
    <row r="41" spans="1:14" ht="25.5" x14ac:dyDescent="0.25">
      <c r="A41" s="5">
        <f>ROW(A41) - ROW($A$2)</f>
        <v>39</v>
      </c>
      <c r="B41" s="24" t="s">
        <v>225</v>
      </c>
      <c r="C41" s="24" t="s">
        <v>226</v>
      </c>
      <c r="D41" s="24" t="s">
        <v>157</v>
      </c>
      <c r="E41" s="25" t="s">
        <v>227</v>
      </c>
      <c r="F41" s="26" t="s">
        <v>86</v>
      </c>
      <c r="G41" s="25" t="s">
        <v>25</v>
      </c>
      <c r="H41" s="24" t="s">
        <v>228</v>
      </c>
      <c r="I41" s="25" t="s">
        <v>229</v>
      </c>
      <c r="J41" s="19">
        <v>4</v>
      </c>
      <c r="K41" s="20">
        <f t="shared" si="1"/>
        <v>40</v>
      </c>
      <c r="L41" s="20">
        <f t="shared" si="2"/>
        <v>400</v>
      </c>
      <c r="M41" s="20">
        <v>100</v>
      </c>
      <c r="N41" s="20">
        <v>500</v>
      </c>
    </row>
    <row r="42" spans="1:14" ht="38.25" x14ac:dyDescent="0.25">
      <c r="A42" s="5">
        <f t="shared" si="0"/>
        <v>40</v>
      </c>
      <c r="B42" s="11" t="s">
        <v>230</v>
      </c>
      <c r="C42" s="11" t="s">
        <v>231</v>
      </c>
      <c r="D42" s="11" t="s">
        <v>157</v>
      </c>
      <c r="E42" s="27" t="s">
        <v>232</v>
      </c>
      <c r="F42" s="11" t="s">
        <v>233</v>
      </c>
      <c r="G42" s="12" t="s">
        <v>25</v>
      </c>
      <c r="H42" s="11" t="s">
        <v>234</v>
      </c>
      <c r="I42" s="12" t="s">
        <v>235</v>
      </c>
      <c r="J42" s="14">
        <v>22</v>
      </c>
      <c r="K42" s="15">
        <f t="shared" si="1"/>
        <v>220</v>
      </c>
      <c r="L42" s="15">
        <f t="shared" si="2"/>
        <v>2200</v>
      </c>
      <c r="M42" s="15">
        <v>300</v>
      </c>
      <c r="N42" s="15">
        <v>2300</v>
      </c>
    </row>
    <row r="43" spans="1:14" ht="25.5" x14ac:dyDescent="0.25">
      <c r="A43" s="5">
        <f>ROW(A43) - ROW($A$2)</f>
        <v>41</v>
      </c>
      <c r="B43" s="24" t="s">
        <v>236</v>
      </c>
      <c r="C43" s="24" t="s">
        <v>237</v>
      </c>
      <c r="D43" s="24" t="s">
        <v>38</v>
      </c>
      <c r="E43" s="25" t="s">
        <v>238</v>
      </c>
      <c r="F43" s="26" t="s">
        <v>86</v>
      </c>
      <c r="G43" s="25" t="s">
        <v>239</v>
      </c>
      <c r="H43" s="24" t="s">
        <v>240</v>
      </c>
      <c r="I43" s="29" t="s">
        <v>86</v>
      </c>
      <c r="J43" s="19">
        <v>1</v>
      </c>
      <c r="K43" s="20">
        <f t="shared" si="1"/>
        <v>10</v>
      </c>
      <c r="L43" s="20">
        <f t="shared" si="2"/>
        <v>100</v>
      </c>
      <c r="M43" s="20">
        <v>12</v>
      </c>
      <c r="N43" s="20">
        <v>110</v>
      </c>
    </row>
    <row r="44" spans="1:14" ht="38.25" x14ac:dyDescent="0.25">
      <c r="A44" s="5">
        <f t="shared" si="0"/>
        <v>42</v>
      </c>
      <c r="B44" s="21" t="s">
        <v>241</v>
      </c>
      <c r="C44" s="21" t="s">
        <v>242</v>
      </c>
      <c r="D44" s="21" t="s">
        <v>38</v>
      </c>
      <c r="E44" s="22" t="s">
        <v>243</v>
      </c>
      <c r="F44" s="23" t="s">
        <v>18</v>
      </c>
      <c r="G44" s="22" t="s">
        <v>244</v>
      </c>
      <c r="H44" s="23" t="s">
        <v>40</v>
      </c>
      <c r="I44" s="28" t="s">
        <v>86</v>
      </c>
      <c r="J44" s="14">
        <v>1</v>
      </c>
      <c r="K44" s="15">
        <f t="shared" si="1"/>
        <v>10</v>
      </c>
      <c r="L44" s="15">
        <f t="shared" si="2"/>
        <v>100</v>
      </c>
      <c r="M44" s="15">
        <v>10</v>
      </c>
      <c r="N44" s="15">
        <v>100</v>
      </c>
    </row>
    <row r="45" spans="1:14" x14ac:dyDescent="0.25">
      <c r="A45" s="5">
        <f>ROW(A45) - ROW($A$2)</f>
        <v>43</v>
      </c>
      <c r="B45" s="24" t="s">
        <v>245</v>
      </c>
      <c r="C45" s="24" t="s">
        <v>246</v>
      </c>
      <c r="D45" s="24" t="s">
        <v>247</v>
      </c>
      <c r="E45" s="25" t="s">
        <v>248</v>
      </c>
      <c r="F45" s="26" t="s">
        <v>18</v>
      </c>
      <c r="G45" s="25" t="s">
        <v>249</v>
      </c>
      <c r="H45" s="24" t="s">
        <v>250</v>
      </c>
      <c r="I45" s="29" t="s">
        <v>86</v>
      </c>
      <c r="J45" s="19">
        <v>2</v>
      </c>
      <c r="K45" s="20">
        <f t="shared" si="1"/>
        <v>20</v>
      </c>
      <c r="L45" s="20">
        <f t="shared" si="2"/>
        <v>200</v>
      </c>
      <c r="M45" s="20">
        <v>22</v>
      </c>
      <c r="N45" s="20">
        <v>210</v>
      </c>
    </row>
    <row r="46" spans="1:14" x14ac:dyDescent="0.25">
      <c r="A46" s="5">
        <f t="shared" si="0"/>
        <v>44</v>
      </c>
      <c r="B46" s="21" t="s">
        <v>251</v>
      </c>
      <c r="C46" s="21" t="s">
        <v>252</v>
      </c>
      <c r="D46" s="21" t="s">
        <v>253</v>
      </c>
      <c r="E46" s="22" t="s">
        <v>254</v>
      </c>
      <c r="F46" s="23" t="s">
        <v>40</v>
      </c>
      <c r="G46" s="22" t="s">
        <v>255</v>
      </c>
      <c r="H46" s="21" t="s">
        <v>256</v>
      </c>
      <c r="I46" s="28" t="s">
        <v>86</v>
      </c>
      <c r="J46" s="14">
        <v>1</v>
      </c>
      <c r="K46" s="15">
        <f t="shared" si="1"/>
        <v>10</v>
      </c>
      <c r="L46" s="15">
        <f t="shared" si="2"/>
        <v>100</v>
      </c>
      <c r="M46" s="15">
        <v>12</v>
      </c>
      <c r="N46" s="15">
        <v>110</v>
      </c>
    </row>
    <row r="47" spans="1:14" ht="25.5" x14ac:dyDescent="0.25">
      <c r="A47" s="5">
        <f>ROW(A47) - ROW($A$2)</f>
        <v>45</v>
      </c>
      <c r="B47" s="24" t="s">
        <v>257</v>
      </c>
      <c r="C47" s="24" t="s">
        <v>258</v>
      </c>
      <c r="D47" s="24" t="s">
        <v>259</v>
      </c>
      <c r="E47" s="25" t="s">
        <v>260</v>
      </c>
      <c r="F47" s="26" t="s">
        <v>40</v>
      </c>
      <c r="G47" s="25" t="s">
        <v>261</v>
      </c>
      <c r="H47" s="26" t="s">
        <v>40</v>
      </c>
      <c r="I47" s="29" t="s">
        <v>18</v>
      </c>
      <c r="J47" s="19">
        <v>1</v>
      </c>
      <c r="K47" s="20">
        <f t="shared" si="1"/>
        <v>10</v>
      </c>
      <c r="L47" s="20">
        <f t="shared" si="2"/>
        <v>100</v>
      </c>
      <c r="M47" s="20">
        <v>10</v>
      </c>
      <c r="N47" s="20">
        <v>105</v>
      </c>
    </row>
    <row r="48" spans="1:14" ht="38.25" x14ac:dyDescent="0.25">
      <c r="A48" s="5">
        <f t="shared" si="0"/>
        <v>46</v>
      </c>
      <c r="B48" s="21" t="s">
        <v>262</v>
      </c>
      <c r="C48" s="21" t="s">
        <v>263</v>
      </c>
      <c r="D48" s="21" t="s">
        <v>264</v>
      </c>
      <c r="E48" s="22" t="s">
        <v>265</v>
      </c>
      <c r="F48" s="23" t="s">
        <v>86</v>
      </c>
      <c r="G48" s="22" t="s">
        <v>266</v>
      </c>
      <c r="H48" s="21" t="s">
        <v>267</v>
      </c>
      <c r="I48" s="28" t="s">
        <v>40</v>
      </c>
      <c r="J48" s="14">
        <v>5</v>
      </c>
      <c r="K48" s="15">
        <f t="shared" si="1"/>
        <v>50</v>
      </c>
      <c r="L48" s="15">
        <f t="shared" si="2"/>
        <v>500</v>
      </c>
      <c r="M48" s="15">
        <v>55</v>
      </c>
      <c r="N48" s="15">
        <v>510</v>
      </c>
    </row>
    <row r="49" spans="1:14" ht="25.5" x14ac:dyDescent="0.25">
      <c r="A49" s="5">
        <f>ROW(A49) - ROW($A$2)</f>
        <v>47</v>
      </c>
      <c r="B49" s="24" t="s">
        <v>268</v>
      </c>
      <c r="C49" s="24" t="s">
        <v>269</v>
      </c>
      <c r="D49" s="24" t="s">
        <v>38</v>
      </c>
      <c r="E49" s="25" t="s">
        <v>270</v>
      </c>
      <c r="F49" s="26" t="s">
        <v>18</v>
      </c>
      <c r="G49" s="25" t="s">
        <v>271</v>
      </c>
      <c r="H49" s="24" t="s">
        <v>272</v>
      </c>
      <c r="I49" s="29" t="s">
        <v>18</v>
      </c>
      <c r="J49" s="19">
        <v>1</v>
      </c>
      <c r="K49" s="20">
        <f t="shared" si="1"/>
        <v>10</v>
      </c>
      <c r="L49" s="20">
        <f t="shared" si="2"/>
        <v>100</v>
      </c>
      <c r="M49" s="20">
        <v>12</v>
      </c>
      <c r="N49" s="20">
        <v>105</v>
      </c>
    </row>
    <row r="50" spans="1:14" ht="39" thickBot="1" x14ac:dyDescent="0.3">
      <c r="A50" s="33">
        <f t="shared" si="0"/>
        <v>48</v>
      </c>
      <c r="B50" s="34" t="s">
        <v>273</v>
      </c>
      <c r="C50" s="34" t="s">
        <v>274</v>
      </c>
      <c r="D50" s="34" t="s">
        <v>38</v>
      </c>
      <c r="E50" s="35" t="s">
        <v>275</v>
      </c>
      <c r="F50" s="36" t="s">
        <v>18</v>
      </c>
      <c r="G50" s="35" t="s">
        <v>276</v>
      </c>
      <c r="H50" s="37" t="s">
        <v>277</v>
      </c>
      <c r="I50" s="35" t="s">
        <v>278</v>
      </c>
      <c r="J50" s="38">
        <v>1</v>
      </c>
      <c r="K50" s="39">
        <f t="shared" si="1"/>
        <v>10</v>
      </c>
      <c r="L50" s="39">
        <f t="shared" si="2"/>
        <v>100</v>
      </c>
      <c r="M50" s="39">
        <v>15</v>
      </c>
      <c r="N50" s="39">
        <v>110</v>
      </c>
    </row>
    <row r="51" spans="1:14" ht="19.5" thickBot="1" x14ac:dyDescent="0.3">
      <c r="A51" s="40"/>
      <c r="B51" s="41" t="s">
        <v>279</v>
      </c>
      <c r="C51" s="42"/>
      <c r="D51" s="43"/>
      <c r="E51" s="44"/>
      <c r="F51" s="44"/>
      <c r="G51" s="43"/>
      <c r="H51" s="43"/>
      <c r="I51" s="44"/>
      <c r="J51" s="45"/>
      <c r="K51" s="45"/>
      <c r="L51" s="45"/>
      <c r="M51" s="46"/>
      <c r="N51" s="55" t="s">
        <v>280</v>
      </c>
    </row>
    <row r="52" spans="1:14" ht="19.5" thickBot="1" x14ac:dyDescent="0.3">
      <c r="A52" s="47"/>
      <c r="B52" s="48" t="s">
        <v>281</v>
      </c>
      <c r="C52" s="49"/>
      <c r="D52" s="49"/>
      <c r="E52" s="49"/>
      <c r="F52" s="49"/>
      <c r="G52" s="49"/>
      <c r="H52" s="49"/>
      <c r="I52" s="49"/>
      <c r="J52" s="50"/>
      <c r="K52" s="50"/>
      <c r="L52" s="50"/>
      <c r="M52" s="51"/>
      <c r="N52" s="56" t="s">
        <v>282</v>
      </c>
    </row>
    <row r="53" spans="1:14" ht="19.5" thickBot="1" x14ac:dyDescent="0.3">
      <c r="N53" s="55" t="s">
        <v>283</v>
      </c>
    </row>
    <row r="54" spans="1:14" ht="19.5" thickBot="1" x14ac:dyDescent="0.3">
      <c r="N54" s="55" t="s">
        <v>284</v>
      </c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DANISH TRADERS</cp:lastModifiedBy>
  <dcterms:created xsi:type="dcterms:W3CDTF">2022-05-27T06:48:22Z</dcterms:created>
  <dcterms:modified xsi:type="dcterms:W3CDTF">2022-05-27T06:52:40Z</dcterms:modified>
</cp:coreProperties>
</file>