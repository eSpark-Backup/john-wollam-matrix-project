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park Group\Desktop\JW\_Deliverables\_BOM\"/>
    </mc:Choice>
  </mc:AlternateContent>
  <bookViews>
    <workbookView xWindow="0" yWindow="0" windowWidth="20490" windowHeight="7770"/>
  </bookViews>
  <sheets>
    <sheet name="Joh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" i="1" l="1"/>
  <c r="J20" i="1"/>
  <c r="J4" i="1"/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6" i="1"/>
  <c r="J37" i="1"/>
  <c r="J38" i="1"/>
  <c r="J39" i="1"/>
  <c r="J40" i="1"/>
  <c r="J41" i="1"/>
  <c r="J42" i="1"/>
  <c r="J43" i="1"/>
  <c r="J44" i="1"/>
  <c r="J45" i="1"/>
  <c r="J46" i="1"/>
  <c r="J3" i="1"/>
</calcChain>
</file>

<file path=xl/sharedStrings.xml><?xml version="1.0" encoding="utf-8"?>
<sst xmlns="http://schemas.openxmlformats.org/spreadsheetml/2006/main" count="288" uniqueCount="218">
  <si>
    <t>Description</t>
  </si>
  <si>
    <t>Designator</t>
  </si>
  <si>
    <t>Manufacturer</t>
  </si>
  <si>
    <t>Manufacturer Part Number</t>
  </si>
  <si>
    <t>Quantity</t>
  </si>
  <si>
    <t>Value</t>
  </si>
  <si>
    <t>0.1uF</t>
  </si>
  <si>
    <t>Yageo</t>
  </si>
  <si>
    <t>1uF</t>
  </si>
  <si>
    <t>10nF</t>
  </si>
  <si>
    <t>10uF</t>
  </si>
  <si>
    <t>S. No.</t>
  </si>
  <si>
    <t>Comment Type</t>
  </si>
  <si>
    <t>Footprint (Package)</t>
  </si>
  <si>
    <t>Total Quantity</t>
  </si>
  <si>
    <t>Capacitor</t>
  </si>
  <si>
    <t>LED</t>
  </si>
  <si>
    <t>Cap0603</t>
  </si>
  <si>
    <t>Resistor</t>
  </si>
  <si>
    <t>CAP CER 1UF 25V X5R 0402</t>
  </si>
  <si>
    <t>CAP CER 10000PF 25V X7R 0402</t>
  </si>
  <si>
    <t>CAP CER 20PF 25V C0H 0201</t>
  </si>
  <si>
    <t>CAP CER 4.7UF 25V X5R 0603</t>
  </si>
  <si>
    <t>CAP CER 22UF 25V X5R 0805</t>
  </si>
  <si>
    <t>Cap0402</t>
  </si>
  <si>
    <t>GRM155R61E105KA12D</t>
  </si>
  <si>
    <t>Murata</t>
  </si>
  <si>
    <t>CC0402KRX7R8BB103</t>
  </si>
  <si>
    <t>GJM0336C1E200JB01D</t>
  </si>
  <si>
    <t>CL10A475KA8NQNC</t>
  </si>
  <si>
    <t>Samsung</t>
  </si>
  <si>
    <t>Cap0805</t>
  </si>
  <si>
    <t>20pF</t>
  </si>
  <si>
    <t>22uF</t>
  </si>
  <si>
    <t>Diode</t>
  </si>
  <si>
    <t>Inductor</t>
  </si>
  <si>
    <t>Taiyo Yuden</t>
  </si>
  <si>
    <t>CAP CER 10UF 10V X5R 0402</t>
  </si>
  <si>
    <t>CAP ALUM POLY 180UF 20% 16V SMD</t>
  </si>
  <si>
    <t>CAP CER 47UF 25V X5R 1206</t>
  </si>
  <si>
    <t>CAP CER 47PF 50V C0G/NP0 0402</t>
  </si>
  <si>
    <t>CAP CER 10UF 25V X5R 0603</t>
  </si>
  <si>
    <t>C11</t>
  </si>
  <si>
    <t>C13</t>
  </si>
  <si>
    <t>C14</t>
  </si>
  <si>
    <t>CU6</t>
  </si>
  <si>
    <t>CU7</t>
  </si>
  <si>
    <t>GRM21BR61E226ME44K</t>
  </si>
  <si>
    <t>GRM31CR61E476ME44L</t>
  </si>
  <si>
    <t>GCM1555C1H470JA16D</t>
  </si>
  <si>
    <t>TMK107BBJ106MA-T</t>
  </si>
  <si>
    <t>Cap1206</t>
  </si>
  <si>
    <t>180uF</t>
  </si>
  <si>
    <t>47uF</t>
  </si>
  <si>
    <t>47pF</t>
  </si>
  <si>
    <t>4.7uF</t>
  </si>
  <si>
    <t>LED GREEN CLEAR CHIP 0603 SMD</t>
  </si>
  <si>
    <t>LTST-C190KGKT</t>
  </si>
  <si>
    <t>FIXED IND 3.3UH 6A 30 MOHM SMD</t>
  </si>
  <si>
    <t>LF1</t>
  </si>
  <si>
    <t>HCM0703-3R3-R</t>
  </si>
  <si>
    <t>Bill of Material (BOM) for John</t>
  </si>
  <si>
    <t>Cap0201</t>
  </si>
  <si>
    <t>Radial</t>
  </si>
  <si>
    <t>D1,D2</t>
  </si>
  <si>
    <t>NXP Semiconductors</t>
  </si>
  <si>
    <t>SOD123W</t>
  </si>
  <si>
    <t>PTC RESET FUSE 16V 2.5A 1812</t>
  </si>
  <si>
    <t>F1</t>
  </si>
  <si>
    <t>MF-MSMF250/16X-2</t>
  </si>
  <si>
    <t>Bourns</t>
  </si>
  <si>
    <t>LED 0603</t>
  </si>
  <si>
    <t>Vishay Lite-On</t>
  </si>
  <si>
    <t xml:space="preserve">Fuse </t>
  </si>
  <si>
    <t>FERRITE BEAD 120 OHM 0402 1LN</t>
  </si>
  <si>
    <t>FB1</t>
  </si>
  <si>
    <t>MMZ1005F121ET000</t>
  </si>
  <si>
    <t>TDK</t>
  </si>
  <si>
    <t>L1</t>
  </si>
  <si>
    <t>Eaton Cooper</t>
  </si>
  <si>
    <t>P-Channel 30V Fast Switching MOSFET</t>
  </si>
  <si>
    <t>Q1</t>
  </si>
  <si>
    <t>QM3001K</t>
  </si>
  <si>
    <t>SOT-23</t>
  </si>
  <si>
    <t>TY Semiconductor</t>
  </si>
  <si>
    <t>BSS138LT1G</t>
  </si>
  <si>
    <t>ON Semiconductor</t>
  </si>
  <si>
    <t>MOSFET P-CH 20V 2.8A SOT-23</t>
  </si>
  <si>
    <t>PMV65XP,215</t>
  </si>
  <si>
    <t>Nexperia</t>
  </si>
  <si>
    <t>MOSFET N-CH 50V 200MA SOT-23</t>
  </si>
  <si>
    <t>Q13'Q14'Q15'Q16'Q25'Q26'Q27'Q28'Q37'Q38'Q43'Q44'Q45'Q46'Q55'Q56'Q57'Q58'Q67'Q68</t>
  </si>
  <si>
    <t>Q2'Q17'Q18'Q19'Q20'Q21'Q22'Q23'Q24''Q29'Q30'Q31'Q32'Q33'Q34'Q35'Q36'Q39'Q40'Q41'Q42'Q47'Q48'Q49'Q50'Q51'Q52'Q53'Q54'Q59'Q60'Q61'Q62'Q63'Q64'Q65'Q66'Q69'Q70'Q71'Q72'Q73'Q74'Q75'Q76</t>
  </si>
  <si>
    <t>RES SMD 10K OHM 1% 1/16W 0402</t>
  </si>
  <si>
    <t>RC0402FR-0710KL</t>
  </si>
  <si>
    <t>Res0402</t>
  </si>
  <si>
    <t>RES SMD 33.2K OHM 1% 1/16W 0402</t>
  </si>
  <si>
    <t>R2</t>
  </si>
  <si>
    <t>RC0402FR-0733K2L</t>
  </si>
  <si>
    <t>RES SMD 330K OHM 1% 1/16W 0402</t>
  </si>
  <si>
    <t>R6</t>
  </si>
  <si>
    <t>RES SMD 220K OHM 1% 1/16W 0402</t>
  </si>
  <si>
    <t>RES SMD 100 OHM 1% 1/16W 0402</t>
  </si>
  <si>
    <t>R8</t>
  </si>
  <si>
    <t>RES SMD 270K OHM 1% 1/16W 0402</t>
  </si>
  <si>
    <t>R10</t>
  </si>
  <si>
    <t>RES SMD 27 OHM 1% 1/16W 0402</t>
  </si>
  <si>
    <t>RC0402FR-07330KL</t>
  </si>
  <si>
    <t>RC0402FR-07220KL</t>
  </si>
  <si>
    <t>RC0402FR-07100RL</t>
  </si>
  <si>
    <t>RC0402FR-07270KL</t>
  </si>
  <si>
    <t>RT0402FRE0727RL</t>
  </si>
  <si>
    <t>RES SMD 1K OHM 1% 1/16W 0402</t>
  </si>
  <si>
    <t>RT0402FRE071KL</t>
  </si>
  <si>
    <t>RES SMD 4.7K OHM 1% 1/16W 0402</t>
  </si>
  <si>
    <t>RC0402FR-074K7L</t>
  </si>
  <si>
    <t>RES SMD 54.9K OHM 1% 1/16W 0402</t>
  </si>
  <si>
    <t>RF2</t>
  </si>
  <si>
    <t>AC0402FR-0754K9L</t>
  </si>
  <si>
    <t>RES SMD 20K OHM 1% 1/16W 0402</t>
  </si>
  <si>
    <t>RC0402JR-0720KL</t>
  </si>
  <si>
    <t>R1'R4'R59'R60'R61'R62'R63'R64'R65'R66'R71'R72'R73'R74'R75'R76'R77'R78'R83'R84'R85'R86'R87'R88'R89'R90'R91'R92'R93'R94'R95'R96'R97'R102'R103'R104'R105'R106'R107'R108'R109'R114'R115'R116'R117'R120'R121'R122'R123'RF3</t>
  </si>
  <si>
    <t>SWITCH TACTILE SPST-NO 0.05A 12V</t>
  </si>
  <si>
    <t>SW4</t>
  </si>
  <si>
    <t>2 Position SPDT Miniature Slide Switch 100MA 12V Through Hole, Right Angle</t>
  </si>
  <si>
    <t>SW5</t>
  </si>
  <si>
    <t>B3U-1000P</t>
  </si>
  <si>
    <t>Omron</t>
  </si>
  <si>
    <t>ITT C&amp;K</t>
  </si>
  <si>
    <t>IC REG BUCK ADJ 3A TSOT23-6</t>
  </si>
  <si>
    <t>U3</t>
  </si>
  <si>
    <t>IC MCU 32BIT 128KB FLASH 48LQFP</t>
  </si>
  <si>
    <t>U4</t>
  </si>
  <si>
    <t>SOT-23-6</t>
  </si>
  <si>
    <t>Texas Instruments</t>
  </si>
  <si>
    <t>48LQFP</t>
  </si>
  <si>
    <t>CONN USB MICRO B RECPT SMT R/A</t>
  </si>
  <si>
    <t>USB1</t>
  </si>
  <si>
    <t>X1</t>
  </si>
  <si>
    <t>10K</t>
  </si>
  <si>
    <t>330K</t>
  </si>
  <si>
    <t>220K</t>
  </si>
  <si>
    <t>270K</t>
  </si>
  <si>
    <t>1K</t>
  </si>
  <si>
    <t>33.2K</t>
  </si>
  <si>
    <t>4.7K</t>
  </si>
  <si>
    <t>54.9K</t>
  </si>
  <si>
    <t>RES SMD 330 OHM 1% 1/16W 0402</t>
  </si>
  <si>
    <t>RC0402FR-07330RL</t>
  </si>
  <si>
    <t>20K</t>
  </si>
  <si>
    <t>27R</t>
  </si>
  <si>
    <t>330R</t>
  </si>
  <si>
    <t>TERM BLK 12P SIDE ENT 5.08MM PCB</t>
  </si>
  <si>
    <t>J6</t>
  </si>
  <si>
    <t>1729225</t>
  </si>
  <si>
    <t>Phoenix Contact</t>
  </si>
  <si>
    <t>CONN HEADER VERT 11POS 2.54MM</t>
  </si>
  <si>
    <t>0022232111</t>
  </si>
  <si>
    <t>Molex</t>
  </si>
  <si>
    <t>10118192-0001LF</t>
  </si>
  <si>
    <t>Amphenol FCI</t>
  </si>
  <si>
    <t>C1, C23, C33, CF1</t>
  </si>
  <si>
    <t>C9, CS1</t>
  </si>
  <si>
    <t>C15, C16</t>
  </si>
  <si>
    <t>C25, CU5</t>
  </si>
  <si>
    <t>C2, C8, C10, C12, C17, C32, CF4, CF5, CF8'CU1, CU2, CU3, CU4, CU8</t>
  </si>
  <si>
    <t>LED1, LED2, LED3, LED4, LED5, LED6, LED7, LED8, LED9, LED10, LED11, LED12, LED13, LED14, LED15, LED16, LED17, LED18, LED19, LED20, LED21, LED22</t>
  </si>
  <si>
    <t>-------</t>
  </si>
  <si>
    <t>CF2, CF3</t>
  </si>
  <si>
    <t>C34, C35</t>
  </si>
  <si>
    <t>CF6, CF7</t>
  </si>
  <si>
    <t>CU9, CU10</t>
  </si>
  <si>
    <t>R7, R9</t>
  </si>
  <si>
    <t>100R</t>
  </si>
  <si>
    <t>R67, R68, R69, R70, R79, R80, R81, R82, R87, R88, R98, R99, R100, R101, R110, R111, R112, R113, R118, R119</t>
  </si>
  <si>
    <t>RF10, RU1, RU2, RU3</t>
  </si>
  <si>
    <t>R16, R17</t>
  </si>
  <si>
    <t>R3,R58</t>
  </si>
  <si>
    <t>R38, R46, R48, R50</t>
  </si>
  <si>
    <t>Mosfet</t>
  </si>
  <si>
    <t>Custom</t>
  </si>
  <si>
    <t>Fuse 1812</t>
  </si>
  <si>
    <t>STMicroelectronics</t>
  </si>
  <si>
    <t>Switch</t>
  </si>
  <si>
    <t>IC</t>
  </si>
  <si>
    <t>Crystal</t>
  </si>
  <si>
    <t>LDK105CBJ106MVLF</t>
  </si>
  <si>
    <t>CAP CER 0.1UF 16V Y5V 0402</t>
  </si>
  <si>
    <t>0402F104Z160</t>
  </si>
  <si>
    <t>Walsin Tech Corp</t>
  </si>
  <si>
    <t>16SVPF180M</t>
  </si>
  <si>
    <t>PANASONIC</t>
  </si>
  <si>
    <t>CL05A474KA5NNNC</t>
  </si>
  <si>
    <t>470nF</t>
  </si>
  <si>
    <t>CAP CER 470nF 25V X5R 0402</t>
  </si>
  <si>
    <t>CAP CER 47nF 16V X5R 0201</t>
  </si>
  <si>
    <t>CC0201KRX5R7BB473</t>
  </si>
  <si>
    <t>47nF</t>
  </si>
  <si>
    <t>GRM21BR61E226ME44L</t>
  </si>
  <si>
    <t>DIODE SCHOTTKY 60V 1A SOD123W</t>
  </si>
  <si>
    <t>PMEG6010ER,115</t>
  </si>
  <si>
    <t>COILMX</t>
  </si>
  <si>
    <t>Ind0402</t>
  </si>
  <si>
    <t>OS102011MA1QN1C</t>
  </si>
  <si>
    <t>FIXED IND 2.2UH 5.5A 29 MOHM SMD</t>
  </si>
  <si>
    <t>MS0530-2R2M</t>
  </si>
  <si>
    <t>U1, U2</t>
  </si>
  <si>
    <t>TPS563201DDCR</t>
  </si>
  <si>
    <t>TVS DIODE 5V 6.8V 6DFN</t>
  </si>
  <si>
    <t>uDFN-6</t>
  </si>
  <si>
    <t>SP3014-02UTG</t>
  </si>
  <si>
    <t>Littlefuse</t>
  </si>
  <si>
    <t>STM32F070CBT6</t>
  </si>
  <si>
    <t>CRYSTAL 8.0000MHZ 20PF SMD</t>
  </si>
  <si>
    <t>49MD-8.000-20-20-20/A</t>
  </si>
  <si>
    <t xml:space="preserve"> Suzhou Liming Elec</t>
  </si>
  <si>
    <t>P2, P3</t>
  </si>
  <si>
    <t xml:space="preserve">Extra Qty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</si>
</sst>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3" borderId="1" xfId="0" quotePrefix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 wrapText="1"/>
    </xf>
    <xf numFmtId="0" fontId="3" fillId="0" borderId="1" xfId="0" quotePrefix="1" applyFont="1" applyBorder="1"/>
    <xf numFmtId="0" fontId="3" fillId="0" borderId="1" xfId="0" quotePrefix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3" fillId="0" borderId="8" xfId="0" quotePrefix="1" applyFont="1" applyBorder="1"/>
    <xf numFmtId="0" fontId="3" fillId="0" borderId="8" xfId="0" quotePrefix="1" applyFont="1" applyBorder="1" applyAlignment="1">
      <alignment horizontal="center"/>
    </xf>
    <xf numFmtId="0" fontId="0" fillId="3" borderId="8" xfId="0" applyFont="1" applyFill="1" applyBorder="1" applyAlignment="1">
      <alignment horizontal="center" vertical="center"/>
    </xf>
    <xf numFmtId="0" fontId="3" fillId="0" borderId="16" xfId="0" quotePrefix="1" applyFont="1" applyBorder="1"/>
    <xf numFmtId="0" fontId="3" fillId="0" borderId="17" xfId="0" quotePrefix="1" applyFont="1" applyBorder="1"/>
    <xf numFmtId="0" fontId="3" fillId="0" borderId="11" xfId="0" quotePrefix="1" applyFont="1" applyBorder="1"/>
    <xf numFmtId="0" fontId="3" fillId="3" borderId="11" xfId="0" quotePrefix="1" applyFont="1" applyFill="1" applyBorder="1" applyAlignment="1">
      <alignment horizontal="center" vertical="center"/>
    </xf>
    <xf numFmtId="0" fontId="3" fillId="0" borderId="11" xfId="0" quotePrefix="1" applyFont="1" applyBorder="1" applyAlignment="1">
      <alignment horizontal="center"/>
    </xf>
    <xf numFmtId="0" fontId="3" fillId="3" borderId="11" xfId="0" quotePrefix="1" applyFont="1" applyFill="1" applyBorder="1" applyAlignment="1">
      <alignment horizontal="center" vertical="center" wrapText="1"/>
    </xf>
    <xf numFmtId="0" fontId="3" fillId="0" borderId="11" xfId="0" quotePrefix="1" applyFont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3" fillId="0" borderId="11" xfId="0" quotePrefix="1" applyFont="1" applyBorder="1" applyAlignment="1">
      <alignment wrapText="1"/>
    </xf>
    <xf numFmtId="0" fontId="5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3" borderId="7" xfId="0" quotePrefix="1" applyFont="1" applyFill="1" applyBorder="1" applyAlignment="1">
      <alignment horizontal="center" vertical="center" wrapText="1"/>
    </xf>
    <xf numFmtId="0" fontId="3" fillId="3" borderId="7" xfId="0" quotePrefix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3" borderId="8" xfId="0" quotePrefix="1" applyFont="1" applyFill="1" applyBorder="1" applyAlignment="1">
      <alignment horizontal="center" vertical="center" wrapText="1"/>
    </xf>
    <xf numFmtId="0" fontId="3" fillId="3" borderId="8" xfId="0" quotePrefix="1" applyFont="1" applyFill="1" applyBorder="1" applyAlignment="1">
      <alignment horizontal="center" vertical="center"/>
    </xf>
    <xf numFmtId="0" fontId="3" fillId="0" borderId="19" xfId="0" quotePrefix="1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19" xfId="0" quotePrefix="1" applyFont="1" applyBorder="1"/>
    <xf numFmtId="0" fontId="4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3" borderId="1" xfId="0" quotePrefix="1" applyFont="1" applyFill="1" applyBorder="1"/>
    <xf numFmtId="0" fontId="5" fillId="3" borderId="0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wrapText="1"/>
    </xf>
    <xf numFmtId="0" fontId="3" fillId="3" borderId="1" xfId="0" quotePrefix="1" applyFont="1" applyFill="1" applyBorder="1" applyAlignment="1">
      <alignment horizontal="center"/>
    </xf>
    <xf numFmtId="0" fontId="3" fillId="3" borderId="8" xfId="0" quotePrefix="1" applyFont="1" applyFill="1" applyBorder="1"/>
    <xf numFmtId="0" fontId="3" fillId="3" borderId="8" xfId="0" quotePrefix="1" applyFont="1" applyFill="1" applyBorder="1" applyAlignment="1">
      <alignment horizontal="center"/>
    </xf>
    <xf numFmtId="0" fontId="3" fillId="3" borderId="11" xfId="0" quotePrefix="1" applyFont="1" applyFill="1" applyBorder="1"/>
    <xf numFmtId="0" fontId="3" fillId="3" borderId="11" xfId="0" quotePrefix="1" applyFont="1" applyFill="1" applyBorder="1" applyAlignment="1">
      <alignment horizontal="center" wrapText="1"/>
    </xf>
    <xf numFmtId="0" fontId="3" fillId="3" borderId="15" xfId="0" quotePrefix="1" applyFont="1" applyFill="1" applyBorder="1"/>
    <xf numFmtId="0" fontId="3" fillId="3" borderId="7" xfId="0" quotePrefix="1" applyFont="1" applyFill="1" applyBorder="1"/>
    <xf numFmtId="0" fontId="3" fillId="3" borderId="7" xfId="0" applyFont="1" applyFill="1" applyBorder="1" applyAlignment="1">
      <alignment horizontal="center"/>
    </xf>
    <xf numFmtId="0" fontId="3" fillId="3" borderId="7" xfId="0" quotePrefix="1" applyFont="1" applyFill="1" applyBorder="1" applyAlignment="1">
      <alignment horizontal="center" wrapText="1"/>
    </xf>
    <xf numFmtId="0" fontId="3" fillId="3" borderId="7" xfId="0" quotePrefix="1" applyFont="1" applyFill="1" applyBorder="1" applyAlignment="1">
      <alignment horizontal="center"/>
    </xf>
    <xf numFmtId="0" fontId="3" fillId="3" borderId="16" xfId="0" quotePrefix="1" applyFont="1" applyFill="1" applyBorder="1"/>
    <xf numFmtId="0" fontId="6" fillId="3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/>
    </xf>
    <xf numFmtId="0" fontId="3" fillId="3" borderId="16" xfId="0" quotePrefix="1" applyFont="1" applyFill="1" applyBorder="1" applyAlignment="1">
      <alignment vertical="center"/>
    </xf>
    <xf numFmtId="0" fontId="3" fillId="3" borderId="1" xfId="0" quotePrefix="1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/>
    </xf>
    <xf numFmtId="0" fontId="3" fillId="3" borderId="1" xfId="1" quotePrefix="1" applyFont="1" applyFill="1" applyBorder="1" applyAlignment="1">
      <alignment horizontal="center" vertical="center"/>
    </xf>
    <xf numFmtId="0" fontId="3" fillId="3" borderId="17" xfId="0" quotePrefix="1" applyFont="1" applyFill="1" applyBorder="1"/>
    <xf numFmtId="0" fontId="6" fillId="3" borderId="8" xfId="0" applyFont="1" applyFill="1" applyBorder="1" applyAlignment="1">
      <alignment horizontal="center"/>
    </xf>
    <xf numFmtId="0" fontId="3" fillId="3" borderId="19" xfId="0" quotePrefix="1" applyFont="1" applyFill="1" applyBorder="1"/>
    <xf numFmtId="0" fontId="3" fillId="3" borderId="11" xfId="0" quotePrefix="1" applyFont="1" applyFill="1" applyBorder="1" applyAlignment="1">
      <alignment horizontal="center"/>
    </xf>
    <xf numFmtId="0" fontId="6" fillId="3" borderId="1" xfId="1" quotePrefix="1" applyFont="1" applyFill="1" applyBorder="1" applyAlignment="1">
      <alignment horizontal="center"/>
    </xf>
    <xf numFmtId="0" fontId="3" fillId="3" borderId="1" xfId="1" quotePrefix="1" applyFont="1" applyFill="1" applyBorder="1" applyAlignment="1">
      <alignment horizontal="center"/>
    </xf>
    <xf numFmtId="0" fontId="3" fillId="3" borderId="17" xfId="0" quotePrefix="1" applyFont="1" applyFill="1" applyBorder="1" applyAlignment="1">
      <alignment vertical="center"/>
    </xf>
    <xf numFmtId="0" fontId="3" fillId="3" borderId="8" xfId="0" quotePrefix="1" applyFont="1" applyFill="1" applyBorder="1" applyAlignment="1">
      <alignment vertical="center" wrapText="1"/>
    </xf>
    <xf numFmtId="0" fontId="6" fillId="3" borderId="1" xfId="0" quotePrefix="1" applyFont="1" applyFill="1" applyBorder="1" applyAlignment="1">
      <alignment horizontal="center"/>
    </xf>
    <xf numFmtId="0" fontId="3" fillId="3" borderId="20" xfId="0" quotePrefix="1" applyFont="1" applyFill="1" applyBorder="1" applyAlignment="1">
      <alignment horizontal="center" vertical="center" wrapText="1"/>
    </xf>
    <xf numFmtId="0" fontId="6" fillId="3" borderId="8" xfId="0" quotePrefix="1" applyFont="1" applyFill="1" applyBorder="1" applyAlignment="1">
      <alignment horizontal="center"/>
    </xf>
    <xf numFmtId="0" fontId="3" fillId="3" borderId="1" xfId="0" quotePrefix="1" applyFont="1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3" fillId="3" borderId="8" xfId="0" quotePrefix="1" applyFont="1" applyFill="1" applyBorder="1" applyAlignment="1">
      <alignment wrapText="1"/>
    </xf>
    <xf numFmtId="0" fontId="3" fillId="3" borderId="15" xfId="0" quotePrefix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C2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tabSelected="1" topLeftCell="D1" zoomScale="85" zoomScaleNormal="85" workbookViewId="0">
      <selection activeCell="H6" sqref="H6"/>
    </sheetView>
  </sheetViews>
  <sheetFormatPr defaultRowHeight="15" x14ac:dyDescent="0.25"/>
  <cols>
    <col min="1" max="1" width="7" customWidth="1"/>
    <col min="2" max="2" width="17.7109375" customWidth="1"/>
    <col min="3" max="3" width="41" style="12" customWidth="1"/>
    <col min="4" max="4" width="43.140625" style="1" customWidth="1"/>
    <col min="5" max="5" width="20.5703125" style="4" bestFit="1" customWidth="1"/>
    <col min="6" max="6" width="28.42578125" style="6" bestFit="1" customWidth="1"/>
    <col min="7" max="7" width="25.85546875" style="6" bestFit="1" customWidth="1"/>
    <col min="8" max="8" width="8.42578125" style="6" bestFit="1" customWidth="1"/>
    <col min="9" max="9" width="9.7109375" style="6" bestFit="1" customWidth="1"/>
    <col min="10" max="10" width="15.42578125" style="3" bestFit="1" customWidth="1"/>
    <col min="11" max="11" width="13.28515625" style="3" customWidth="1"/>
  </cols>
  <sheetData>
    <row r="1" spans="1:11" ht="16.5" thickBot="1" x14ac:dyDescent="0.3">
      <c r="A1" s="60" t="s">
        <v>61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ht="16.5" thickBot="1" x14ac:dyDescent="0.3">
      <c r="A2" s="5" t="s">
        <v>11</v>
      </c>
      <c r="B2" s="9" t="s">
        <v>12</v>
      </c>
      <c r="C2" s="11" t="s">
        <v>0</v>
      </c>
      <c r="D2" s="9" t="s">
        <v>1</v>
      </c>
      <c r="E2" s="9" t="s">
        <v>13</v>
      </c>
      <c r="F2" s="9" t="s">
        <v>3</v>
      </c>
      <c r="G2" s="9" t="s">
        <v>2</v>
      </c>
      <c r="H2" s="9" t="s">
        <v>5</v>
      </c>
      <c r="I2" s="9" t="s">
        <v>4</v>
      </c>
      <c r="J2" s="9" t="s">
        <v>14</v>
      </c>
      <c r="K2" s="9" t="s">
        <v>217</v>
      </c>
    </row>
    <row r="3" spans="1:11" s="2" customFormat="1" ht="16.5" thickBot="1" x14ac:dyDescent="0.25">
      <c r="A3" s="8">
        <v>1</v>
      </c>
      <c r="B3" s="62" t="s">
        <v>15</v>
      </c>
      <c r="C3" s="53" t="s">
        <v>37</v>
      </c>
      <c r="D3" s="54" t="s">
        <v>161</v>
      </c>
      <c r="E3" s="57" t="s">
        <v>24</v>
      </c>
      <c r="F3" s="57" t="s">
        <v>186</v>
      </c>
      <c r="G3" s="57" t="s">
        <v>36</v>
      </c>
      <c r="H3" s="57" t="s">
        <v>10</v>
      </c>
      <c r="I3" s="68">
        <v>4</v>
      </c>
      <c r="J3" s="19">
        <f>I3*80</f>
        <v>320</v>
      </c>
      <c r="K3" s="19">
        <v>350</v>
      </c>
    </row>
    <row r="4" spans="1:11" s="2" customFormat="1" ht="26.25" thickBot="1" x14ac:dyDescent="0.25">
      <c r="A4" s="7">
        <v>2</v>
      </c>
      <c r="B4" s="63"/>
      <c r="C4" s="69" t="s">
        <v>187</v>
      </c>
      <c r="D4" s="70" t="s">
        <v>165</v>
      </c>
      <c r="E4" s="13" t="s">
        <v>24</v>
      </c>
      <c r="F4" s="13" t="s">
        <v>188</v>
      </c>
      <c r="G4" s="13" t="s">
        <v>189</v>
      </c>
      <c r="H4" s="13" t="s">
        <v>6</v>
      </c>
      <c r="I4" s="71">
        <v>14</v>
      </c>
      <c r="J4" s="18">
        <f>I4*80</f>
        <v>1120</v>
      </c>
      <c r="K4" s="18">
        <v>1150</v>
      </c>
    </row>
    <row r="5" spans="1:11" s="2" customFormat="1" ht="16.5" thickBot="1" x14ac:dyDescent="0.25">
      <c r="A5" s="8">
        <v>3</v>
      </c>
      <c r="B5" s="63"/>
      <c r="C5" s="58" t="s">
        <v>38</v>
      </c>
      <c r="D5" s="45" t="s">
        <v>42</v>
      </c>
      <c r="E5" s="13" t="s">
        <v>63</v>
      </c>
      <c r="F5" s="13" t="s">
        <v>190</v>
      </c>
      <c r="G5" s="13" t="s">
        <v>191</v>
      </c>
      <c r="H5" s="13" t="s">
        <v>52</v>
      </c>
      <c r="I5" s="59">
        <v>1</v>
      </c>
      <c r="J5" s="18">
        <f t="shared" ref="J5:J46" si="0">I5*80</f>
        <v>80</v>
      </c>
      <c r="K5" s="18">
        <v>82</v>
      </c>
    </row>
    <row r="6" spans="1:11" s="2" customFormat="1" ht="16.5" thickBot="1" x14ac:dyDescent="0.25">
      <c r="A6" s="44">
        <v>4</v>
      </c>
      <c r="B6" s="63"/>
      <c r="C6" s="58" t="s">
        <v>23</v>
      </c>
      <c r="D6" s="45" t="s">
        <v>162</v>
      </c>
      <c r="E6" s="48" t="s">
        <v>31</v>
      </c>
      <c r="F6" s="48" t="s">
        <v>47</v>
      </c>
      <c r="G6" s="48" t="s">
        <v>26</v>
      </c>
      <c r="H6" s="48" t="s">
        <v>33</v>
      </c>
      <c r="I6" s="59">
        <v>2</v>
      </c>
      <c r="J6" s="18">
        <f t="shared" si="0"/>
        <v>160</v>
      </c>
      <c r="K6" s="18">
        <v>165</v>
      </c>
    </row>
    <row r="7" spans="1:11" s="2" customFormat="1" ht="16.5" thickBot="1" x14ac:dyDescent="0.25">
      <c r="A7" s="8">
        <v>5</v>
      </c>
      <c r="B7" s="63"/>
      <c r="C7" s="58" t="s">
        <v>194</v>
      </c>
      <c r="D7" s="45" t="s">
        <v>43</v>
      </c>
      <c r="E7" s="48" t="s">
        <v>24</v>
      </c>
      <c r="F7" s="48" t="s">
        <v>192</v>
      </c>
      <c r="G7" s="48" t="s">
        <v>30</v>
      </c>
      <c r="H7" s="48" t="s">
        <v>193</v>
      </c>
      <c r="I7" s="59">
        <v>1</v>
      </c>
      <c r="J7" s="18">
        <f t="shared" si="0"/>
        <v>80</v>
      </c>
      <c r="K7" s="18">
        <v>100</v>
      </c>
    </row>
    <row r="8" spans="1:11" s="2" customFormat="1" ht="16.5" thickBot="1" x14ac:dyDescent="0.25">
      <c r="A8" s="44">
        <v>6</v>
      </c>
      <c r="B8" s="63"/>
      <c r="C8" s="58" t="s">
        <v>195</v>
      </c>
      <c r="D8" s="45" t="s">
        <v>44</v>
      </c>
      <c r="E8" s="48" t="s">
        <v>62</v>
      </c>
      <c r="F8" s="48" t="s">
        <v>196</v>
      </c>
      <c r="G8" s="48" t="s">
        <v>7</v>
      </c>
      <c r="H8" s="48" t="s">
        <v>197</v>
      </c>
      <c r="I8" s="59">
        <v>1</v>
      </c>
      <c r="J8" s="18">
        <f t="shared" si="0"/>
        <v>80</v>
      </c>
      <c r="K8" s="18">
        <v>100</v>
      </c>
    </row>
    <row r="9" spans="1:11" s="2" customFormat="1" ht="16.5" thickBot="1" x14ac:dyDescent="0.25">
      <c r="A9" s="8">
        <v>7</v>
      </c>
      <c r="B9" s="63"/>
      <c r="C9" s="58" t="s">
        <v>39</v>
      </c>
      <c r="D9" s="45" t="s">
        <v>163</v>
      </c>
      <c r="E9" s="48" t="s">
        <v>51</v>
      </c>
      <c r="F9" s="48" t="s">
        <v>48</v>
      </c>
      <c r="G9" s="48" t="s">
        <v>26</v>
      </c>
      <c r="H9" s="48" t="s">
        <v>53</v>
      </c>
      <c r="I9" s="59">
        <v>2</v>
      </c>
      <c r="J9" s="18">
        <f t="shared" si="0"/>
        <v>160</v>
      </c>
      <c r="K9" s="18">
        <v>165</v>
      </c>
    </row>
    <row r="10" spans="1:11" s="2" customFormat="1" ht="16.5" thickBot="1" x14ac:dyDescent="0.25">
      <c r="A10" s="44">
        <v>8</v>
      </c>
      <c r="B10" s="63"/>
      <c r="C10" s="58" t="s">
        <v>22</v>
      </c>
      <c r="D10" s="45" t="s">
        <v>164</v>
      </c>
      <c r="E10" s="48" t="s">
        <v>17</v>
      </c>
      <c r="F10" s="48" t="s">
        <v>29</v>
      </c>
      <c r="G10" s="48" t="s">
        <v>30</v>
      </c>
      <c r="H10" s="48" t="s">
        <v>55</v>
      </c>
      <c r="I10" s="59">
        <v>2</v>
      </c>
      <c r="J10" s="18">
        <f t="shared" si="0"/>
        <v>160</v>
      </c>
      <c r="K10" s="18">
        <v>180</v>
      </c>
    </row>
    <row r="11" spans="1:11" s="2" customFormat="1" ht="16.5" thickBot="1" x14ac:dyDescent="0.25">
      <c r="A11" s="8">
        <v>9</v>
      </c>
      <c r="B11" s="63"/>
      <c r="C11" s="58" t="s">
        <v>40</v>
      </c>
      <c r="D11" s="45" t="s">
        <v>169</v>
      </c>
      <c r="E11" s="48" t="s">
        <v>24</v>
      </c>
      <c r="F11" s="72" t="s">
        <v>49</v>
      </c>
      <c r="G11" s="48" t="s">
        <v>26</v>
      </c>
      <c r="H11" s="48" t="s">
        <v>54</v>
      </c>
      <c r="I11" s="59">
        <v>2</v>
      </c>
      <c r="J11" s="18">
        <f t="shared" si="0"/>
        <v>160</v>
      </c>
      <c r="K11" s="18">
        <v>200</v>
      </c>
    </row>
    <row r="12" spans="1:11" s="2" customFormat="1" ht="16.5" thickBot="1" x14ac:dyDescent="0.25">
      <c r="A12" s="44">
        <v>10</v>
      </c>
      <c r="B12" s="63"/>
      <c r="C12" s="58" t="s">
        <v>41</v>
      </c>
      <c r="D12" s="45" t="s">
        <v>168</v>
      </c>
      <c r="E12" s="48" t="s">
        <v>17</v>
      </c>
      <c r="F12" s="48" t="s">
        <v>50</v>
      </c>
      <c r="G12" s="48" t="s">
        <v>36</v>
      </c>
      <c r="H12" s="48" t="s">
        <v>10</v>
      </c>
      <c r="I12" s="59">
        <v>2</v>
      </c>
      <c r="J12" s="18">
        <f t="shared" si="0"/>
        <v>160</v>
      </c>
      <c r="K12" s="18">
        <v>170</v>
      </c>
    </row>
    <row r="13" spans="1:11" s="2" customFormat="1" ht="16.5" thickBot="1" x14ac:dyDescent="0.25">
      <c r="A13" s="8">
        <v>11</v>
      </c>
      <c r="B13" s="63"/>
      <c r="C13" s="58" t="s">
        <v>23</v>
      </c>
      <c r="D13" s="45" t="s">
        <v>170</v>
      </c>
      <c r="E13" s="48" t="s">
        <v>31</v>
      </c>
      <c r="F13" s="48" t="s">
        <v>198</v>
      </c>
      <c r="G13" s="48" t="s">
        <v>26</v>
      </c>
      <c r="H13" s="48" t="s">
        <v>33</v>
      </c>
      <c r="I13" s="59">
        <v>2</v>
      </c>
      <c r="J13" s="18">
        <f t="shared" si="0"/>
        <v>160</v>
      </c>
      <c r="K13" s="18">
        <v>165</v>
      </c>
    </row>
    <row r="14" spans="1:11" s="2" customFormat="1" ht="16.5" thickBot="1" x14ac:dyDescent="0.25">
      <c r="A14" s="44">
        <v>12</v>
      </c>
      <c r="B14" s="63"/>
      <c r="C14" s="58" t="s">
        <v>19</v>
      </c>
      <c r="D14" s="45" t="s">
        <v>45</v>
      </c>
      <c r="E14" s="48" t="s">
        <v>24</v>
      </c>
      <c r="F14" s="48" t="s">
        <v>25</v>
      </c>
      <c r="G14" s="48" t="s">
        <v>26</v>
      </c>
      <c r="H14" s="48" t="s">
        <v>8</v>
      </c>
      <c r="I14" s="59">
        <v>1</v>
      </c>
      <c r="J14" s="18">
        <f t="shared" si="0"/>
        <v>80</v>
      </c>
      <c r="K14" s="18">
        <v>100</v>
      </c>
    </row>
    <row r="15" spans="1:11" s="2" customFormat="1" ht="16.5" thickBot="1" x14ac:dyDescent="0.25">
      <c r="A15" s="8">
        <v>13</v>
      </c>
      <c r="B15" s="63"/>
      <c r="C15" s="58" t="s">
        <v>20</v>
      </c>
      <c r="D15" s="45" t="s">
        <v>46</v>
      </c>
      <c r="E15" s="48" t="s">
        <v>24</v>
      </c>
      <c r="F15" s="48" t="s">
        <v>27</v>
      </c>
      <c r="G15" s="48" t="s">
        <v>7</v>
      </c>
      <c r="H15" s="48" t="s">
        <v>9</v>
      </c>
      <c r="I15" s="59">
        <v>1</v>
      </c>
      <c r="J15" s="18">
        <f t="shared" si="0"/>
        <v>80</v>
      </c>
      <c r="K15" s="18">
        <v>100</v>
      </c>
    </row>
    <row r="16" spans="1:11" s="2" customFormat="1" ht="16.5" thickBot="1" x14ac:dyDescent="0.25">
      <c r="A16" s="44">
        <v>14</v>
      </c>
      <c r="B16" s="64"/>
      <c r="C16" s="73" t="s">
        <v>21</v>
      </c>
      <c r="D16" s="49" t="s">
        <v>171</v>
      </c>
      <c r="E16" s="50" t="s">
        <v>62</v>
      </c>
      <c r="F16" s="50" t="s">
        <v>28</v>
      </c>
      <c r="G16" s="50" t="s">
        <v>26</v>
      </c>
      <c r="H16" s="50" t="s">
        <v>32</v>
      </c>
      <c r="I16" s="74">
        <v>2</v>
      </c>
      <c r="J16" s="22">
        <f t="shared" si="0"/>
        <v>160</v>
      </c>
      <c r="K16" s="22">
        <v>180</v>
      </c>
    </row>
    <row r="17" spans="1:13" s="2" customFormat="1" ht="16.5" thickBot="1" x14ac:dyDescent="0.25">
      <c r="A17" s="8">
        <v>15</v>
      </c>
      <c r="B17" s="43" t="s">
        <v>34</v>
      </c>
      <c r="C17" s="75" t="s">
        <v>199</v>
      </c>
      <c r="D17" s="51" t="s">
        <v>64</v>
      </c>
      <c r="E17" s="26" t="s">
        <v>66</v>
      </c>
      <c r="F17" s="76" t="s">
        <v>200</v>
      </c>
      <c r="G17" s="76" t="s">
        <v>65</v>
      </c>
      <c r="H17" s="28" t="s">
        <v>167</v>
      </c>
      <c r="I17" s="26">
        <v>2</v>
      </c>
      <c r="J17" s="30">
        <f t="shared" si="0"/>
        <v>160</v>
      </c>
      <c r="K17" s="30">
        <v>165</v>
      </c>
    </row>
    <row r="18" spans="1:13" s="2" customFormat="1" ht="39" thickBot="1" x14ac:dyDescent="0.25">
      <c r="A18" s="44">
        <v>16</v>
      </c>
      <c r="B18" s="41" t="s">
        <v>16</v>
      </c>
      <c r="C18" s="40" t="s">
        <v>56</v>
      </c>
      <c r="D18" s="32" t="s">
        <v>166</v>
      </c>
      <c r="E18" s="33" t="s">
        <v>71</v>
      </c>
      <c r="F18" s="29" t="s">
        <v>57</v>
      </c>
      <c r="G18" s="29" t="s">
        <v>72</v>
      </c>
      <c r="H18" s="28" t="s">
        <v>167</v>
      </c>
      <c r="I18" s="26">
        <v>22</v>
      </c>
      <c r="J18" s="30">
        <f t="shared" si="0"/>
        <v>1760</v>
      </c>
      <c r="K18" s="30">
        <v>1780</v>
      </c>
    </row>
    <row r="19" spans="1:13" s="2" customFormat="1" ht="16.5" thickBot="1" x14ac:dyDescent="0.25">
      <c r="A19" s="8">
        <v>17</v>
      </c>
      <c r="B19" s="41" t="s">
        <v>73</v>
      </c>
      <c r="C19" s="42" t="s">
        <v>67</v>
      </c>
      <c r="D19" s="25" t="s">
        <v>68</v>
      </c>
      <c r="E19" s="34" t="s">
        <v>181</v>
      </c>
      <c r="F19" s="27" t="s">
        <v>69</v>
      </c>
      <c r="G19" s="27" t="s">
        <v>70</v>
      </c>
      <c r="H19" s="28" t="s">
        <v>167</v>
      </c>
      <c r="I19" s="26">
        <v>1</v>
      </c>
      <c r="J19" s="30">
        <f t="shared" si="0"/>
        <v>80</v>
      </c>
      <c r="K19" s="30">
        <v>85</v>
      </c>
    </row>
    <row r="20" spans="1:13" s="2" customFormat="1" ht="16.5" thickBot="1" x14ac:dyDescent="0.25">
      <c r="A20" s="44">
        <v>18</v>
      </c>
      <c r="B20" s="62" t="s">
        <v>35</v>
      </c>
      <c r="C20" s="53" t="s">
        <v>204</v>
      </c>
      <c r="D20" s="54" t="s">
        <v>78</v>
      </c>
      <c r="E20" s="55" t="s">
        <v>180</v>
      </c>
      <c r="F20" s="56" t="s">
        <v>205</v>
      </c>
      <c r="G20" s="57" t="s">
        <v>201</v>
      </c>
      <c r="H20" s="35" t="s">
        <v>167</v>
      </c>
      <c r="I20" s="36">
        <v>1</v>
      </c>
      <c r="J20" s="18">
        <f t="shared" si="0"/>
        <v>80</v>
      </c>
      <c r="K20" s="19">
        <v>85</v>
      </c>
    </row>
    <row r="21" spans="1:13" s="2" customFormat="1" ht="16.5" thickBot="1" x14ac:dyDescent="0.25">
      <c r="A21" s="8">
        <v>19</v>
      </c>
      <c r="B21" s="63"/>
      <c r="C21" s="23" t="s">
        <v>74</v>
      </c>
      <c r="D21" s="15" t="s">
        <v>75</v>
      </c>
      <c r="E21" s="17" t="s">
        <v>202</v>
      </c>
      <c r="F21" s="16" t="s">
        <v>76</v>
      </c>
      <c r="G21" s="16" t="s">
        <v>77</v>
      </c>
      <c r="H21" s="14" t="s">
        <v>167</v>
      </c>
      <c r="I21" s="13">
        <v>1</v>
      </c>
      <c r="J21" s="18">
        <f t="shared" si="0"/>
        <v>80</v>
      </c>
      <c r="K21" s="18">
        <v>100</v>
      </c>
    </row>
    <row r="22" spans="1:13" s="2" customFormat="1" ht="16.5" thickBot="1" x14ac:dyDescent="0.25">
      <c r="A22" s="44">
        <v>20</v>
      </c>
      <c r="B22" s="64"/>
      <c r="C22" s="24" t="s">
        <v>58</v>
      </c>
      <c r="D22" s="20" t="s">
        <v>59</v>
      </c>
      <c r="E22" s="37" t="s">
        <v>180</v>
      </c>
      <c r="F22" s="21" t="s">
        <v>60</v>
      </c>
      <c r="G22" s="21" t="s">
        <v>79</v>
      </c>
      <c r="H22" s="38" t="s">
        <v>167</v>
      </c>
      <c r="I22" s="39">
        <v>1</v>
      </c>
      <c r="J22" s="22">
        <f t="shared" si="0"/>
        <v>80</v>
      </c>
      <c r="K22" s="22">
        <v>85</v>
      </c>
    </row>
    <row r="23" spans="1:13" s="2" customFormat="1" ht="16.5" thickBot="1" x14ac:dyDescent="0.25">
      <c r="A23" s="8">
        <v>21</v>
      </c>
      <c r="B23" s="62" t="s">
        <v>179</v>
      </c>
      <c r="C23" s="53" t="s">
        <v>80</v>
      </c>
      <c r="D23" s="54" t="s">
        <v>81</v>
      </c>
      <c r="E23" s="57" t="s">
        <v>83</v>
      </c>
      <c r="F23" s="57" t="s">
        <v>82</v>
      </c>
      <c r="G23" s="57" t="s">
        <v>84</v>
      </c>
      <c r="H23" s="35" t="s">
        <v>167</v>
      </c>
      <c r="I23" s="36">
        <v>1</v>
      </c>
      <c r="J23" s="19">
        <f t="shared" si="0"/>
        <v>80</v>
      </c>
      <c r="K23" s="19"/>
    </row>
    <row r="24" spans="1:13" s="2" customFormat="1" ht="64.5" thickBot="1" x14ac:dyDescent="0.3">
      <c r="A24" s="44">
        <v>22</v>
      </c>
      <c r="B24" s="63"/>
      <c r="C24" s="69" t="s">
        <v>90</v>
      </c>
      <c r="D24" s="84" t="s">
        <v>92</v>
      </c>
      <c r="E24" s="13" t="s">
        <v>83</v>
      </c>
      <c r="F24" s="13" t="s">
        <v>85</v>
      </c>
      <c r="G24" s="13" t="s">
        <v>86</v>
      </c>
      <c r="H24" s="14" t="s">
        <v>167</v>
      </c>
      <c r="I24" s="13">
        <v>45</v>
      </c>
      <c r="J24" s="18">
        <f t="shared" si="0"/>
        <v>3600</v>
      </c>
      <c r="K24" s="18">
        <v>3700</v>
      </c>
      <c r="L24" s="85"/>
      <c r="M24" s="85"/>
    </row>
    <row r="25" spans="1:13" s="2" customFormat="1" ht="26.25" thickBot="1" x14ac:dyDescent="0.25">
      <c r="A25" s="8">
        <v>23</v>
      </c>
      <c r="B25" s="64"/>
      <c r="C25" s="79" t="s">
        <v>87</v>
      </c>
      <c r="D25" s="86" t="s">
        <v>91</v>
      </c>
      <c r="E25" s="39" t="s">
        <v>83</v>
      </c>
      <c r="F25" s="39" t="s">
        <v>88</v>
      </c>
      <c r="G25" s="39" t="s">
        <v>89</v>
      </c>
      <c r="H25" s="38" t="s">
        <v>167</v>
      </c>
      <c r="I25" s="39">
        <v>20</v>
      </c>
      <c r="J25" s="22">
        <f t="shared" si="0"/>
        <v>1600</v>
      </c>
      <c r="K25" s="22">
        <v>1700</v>
      </c>
      <c r="L25" s="85"/>
      <c r="M25" s="85"/>
    </row>
    <row r="26" spans="1:13" s="2" customFormat="1" ht="16.5" thickBot="1" x14ac:dyDescent="0.25">
      <c r="A26" s="44">
        <v>24</v>
      </c>
      <c r="B26" s="62" t="s">
        <v>18</v>
      </c>
      <c r="C26" s="87" t="s">
        <v>93</v>
      </c>
      <c r="D26" s="54" t="s">
        <v>121</v>
      </c>
      <c r="E26" s="36" t="s">
        <v>95</v>
      </c>
      <c r="F26" s="36" t="s">
        <v>94</v>
      </c>
      <c r="G26" s="36" t="s">
        <v>7</v>
      </c>
      <c r="H26" s="36" t="s">
        <v>139</v>
      </c>
      <c r="I26" s="36">
        <v>47</v>
      </c>
      <c r="J26" s="19">
        <f t="shared" si="0"/>
        <v>3760</v>
      </c>
      <c r="K26" s="19">
        <v>3700</v>
      </c>
      <c r="L26" s="85"/>
      <c r="M26" s="85"/>
    </row>
    <row r="27" spans="1:13" s="2" customFormat="1" ht="16.5" thickBot="1" x14ac:dyDescent="0.25">
      <c r="A27" s="8">
        <v>25</v>
      </c>
      <c r="B27" s="63"/>
      <c r="C27" s="58" t="s">
        <v>96</v>
      </c>
      <c r="D27" s="45" t="s">
        <v>97</v>
      </c>
      <c r="E27" s="48" t="s">
        <v>95</v>
      </c>
      <c r="F27" s="48" t="s">
        <v>98</v>
      </c>
      <c r="G27" s="48" t="s">
        <v>7</v>
      </c>
      <c r="H27" s="13" t="s">
        <v>144</v>
      </c>
      <c r="I27" s="13">
        <v>1</v>
      </c>
      <c r="J27" s="18">
        <f t="shared" si="0"/>
        <v>80</v>
      </c>
      <c r="K27" s="18">
        <v>100</v>
      </c>
      <c r="L27" s="85"/>
      <c r="M27" s="85"/>
    </row>
    <row r="28" spans="1:13" s="2" customFormat="1" ht="16.5" thickBot="1" x14ac:dyDescent="0.25">
      <c r="A28" s="44">
        <v>26</v>
      </c>
      <c r="B28" s="63"/>
      <c r="C28" s="58" t="s">
        <v>99</v>
      </c>
      <c r="D28" s="45" t="s">
        <v>100</v>
      </c>
      <c r="E28" s="48" t="s">
        <v>95</v>
      </c>
      <c r="F28" s="48" t="s">
        <v>107</v>
      </c>
      <c r="G28" s="48" t="s">
        <v>7</v>
      </c>
      <c r="H28" s="13" t="s">
        <v>140</v>
      </c>
      <c r="I28" s="13">
        <v>1</v>
      </c>
      <c r="J28" s="18">
        <f t="shared" si="0"/>
        <v>80</v>
      </c>
      <c r="K28" s="18">
        <v>100</v>
      </c>
      <c r="L28" s="85"/>
      <c r="M28" s="85"/>
    </row>
    <row r="29" spans="1:13" s="2" customFormat="1" ht="16.5" thickBot="1" x14ac:dyDescent="0.25">
      <c r="A29" s="8">
        <v>27</v>
      </c>
      <c r="B29" s="63"/>
      <c r="C29" s="58" t="s">
        <v>101</v>
      </c>
      <c r="D29" s="45" t="s">
        <v>172</v>
      </c>
      <c r="E29" s="48" t="s">
        <v>95</v>
      </c>
      <c r="F29" s="48" t="s">
        <v>108</v>
      </c>
      <c r="G29" s="48" t="s">
        <v>7</v>
      </c>
      <c r="H29" s="13" t="s">
        <v>141</v>
      </c>
      <c r="I29" s="13">
        <v>2</v>
      </c>
      <c r="J29" s="18">
        <f t="shared" si="0"/>
        <v>160</v>
      </c>
      <c r="K29" s="18">
        <v>200</v>
      </c>
      <c r="L29" s="85"/>
      <c r="M29" s="85"/>
    </row>
    <row r="30" spans="1:13" s="2" customFormat="1" ht="16.5" thickBot="1" x14ac:dyDescent="0.25">
      <c r="A30" s="44">
        <v>28</v>
      </c>
      <c r="B30" s="63"/>
      <c r="C30" s="58" t="s">
        <v>102</v>
      </c>
      <c r="D30" s="45" t="s">
        <v>103</v>
      </c>
      <c r="E30" s="48" t="s">
        <v>95</v>
      </c>
      <c r="F30" s="48" t="s">
        <v>109</v>
      </c>
      <c r="G30" s="48" t="s">
        <v>7</v>
      </c>
      <c r="H30" s="14" t="s">
        <v>173</v>
      </c>
      <c r="I30" s="13">
        <v>1</v>
      </c>
      <c r="J30" s="18">
        <f t="shared" si="0"/>
        <v>80</v>
      </c>
      <c r="K30" s="18">
        <v>100</v>
      </c>
      <c r="L30" s="85"/>
      <c r="M30" s="85"/>
    </row>
    <row r="31" spans="1:13" s="2" customFormat="1" ht="16.5" thickBot="1" x14ac:dyDescent="0.25">
      <c r="A31" s="8">
        <v>29</v>
      </c>
      <c r="B31" s="63"/>
      <c r="C31" s="58" t="s">
        <v>106</v>
      </c>
      <c r="D31" s="45" t="s">
        <v>176</v>
      </c>
      <c r="E31" s="48" t="s">
        <v>95</v>
      </c>
      <c r="F31" s="77" t="s">
        <v>111</v>
      </c>
      <c r="G31" s="48" t="s">
        <v>7</v>
      </c>
      <c r="H31" s="14" t="s">
        <v>150</v>
      </c>
      <c r="I31" s="13">
        <v>2</v>
      </c>
      <c r="J31" s="18">
        <f t="shared" si="0"/>
        <v>160</v>
      </c>
      <c r="K31" s="18">
        <v>200</v>
      </c>
      <c r="L31" s="85"/>
      <c r="M31" s="85"/>
    </row>
    <row r="32" spans="1:13" s="2" customFormat="1" ht="16.5" thickBot="1" x14ac:dyDescent="0.25">
      <c r="A32" s="44">
        <v>30</v>
      </c>
      <c r="B32" s="63"/>
      <c r="C32" s="58" t="s">
        <v>104</v>
      </c>
      <c r="D32" s="45" t="s">
        <v>105</v>
      </c>
      <c r="E32" s="48" t="s">
        <v>95</v>
      </c>
      <c r="F32" s="48" t="s">
        <v>110</v>
      </c>
      <c r="G32" s="48" t="s">
        <v>7</v>
      </c>
      <c r="H32" s="14" t="s">
        <v>142</v>
      </c>
      <c r="I32" s="13">
        <v>1</v>
      </c>
      <c r="J32" s="18">
        <f t="shared" si="0"/>
        <v>80</v>
      </c>
      <c r="K32" s="18">
        <v>100</v>
      </c>
      <c r="L32" s="85"/>
      <c r="M32" s="85"/>
    </row>
    <row r="33" spans="1:11" s="2" customFormat="1" ht="16.5" thickBot="1" x14ac:dyDescent="0.25">
      <c r="A33" s="8">
        <v>31</v>
      </c>
      <c r="B33" s="63"/>
      <c r="C33" s="58" t="s">
        <v>112</v>
      </c>
      <c r="D33" s="45" t="s">
        <v>177</v>
      </c>
      <c r="E33" s="48" t="s">
        <v>95</v>
      </c>
      <c r="F33" s="78" t="s">
        <v>113</v>
      </c>
      <c r="G33" s="48" t="s">
        <v>7</v>
      </c>
      <c r="H33" s="14" t="s">
        <v>143</v>
      </c>
      <c r="I33" s="13">
        <v>2</v>
      </c>
      <c r="J33" s="18">
        <f t="shared" si="0"/>
        <v>160</v>
      </c>
      <c r="K33" s="18">
        <v>200</v>
      </c>
    </row>
    <row r="34" spans="1:11" s="2" customFormat="1" ht="16.5" thickBot="1" x14ac:dyDescent="0.25">
      <c r="A34" s="44">
        <v>32</v>
      </c>
      <c r="B34" s="63"/>
      <c r="C34" s="58" t="s">
        <v>114</v>
      </c>
      <c r="D34" s="45" t="s">
        <v>178</v>
      </c>
      <c r="E34" s="48" t="s">
        <v>95</v>
      </c>
      <c r="F34" s="78" t="s">
        <v>115</v>
      </c>
      <c r="G34" s="48" t="s">
        <v>7</v>
      </c>
      <c r="H34" s="14" t="s">
        <v>145</v>
      </c>
      <c r="I34" s="13">
        <v>4</v>
      </c>
      <c r="J34" s="18">
        <f t="shared" si="0"/>
        <v>320</v>
      </c>
      <c r="K34" s="18">
        <v>400</v>
      </c>
    </row>
    <row r="35" spans="1:11" s="2" customFormat="1" ht="16.5" thickBot="1" x14ac:dyDescent="0.25">
      <c r="A35" s="8">
        <v>33</v>
      </c>
      <c r="B35" s="63"/>
      <c r="C35" s="58" t="s">
        <v>116</v>
      </c>
      <c r="D35" s="45" t="s">
        <v>117</v>
      </c>
      <c r="E35" s="48" t="s">
        <v>95</v>
      </c>
      <c r="F35" s="48" t="s">
        <v>118</v>
      </c>
      <c r="G35" s="48" t="s">
        <v>7</v>
      </c>
      <c r="H35" s="14" t="s">
        <v>146</v>
      </c>
      <c r="I35" s="13">
        <v>1</v>
      </c>
      <c r="J35" s="18">
        <f t="shared" si="0"/>
        <v>80</v>
      </c>
      <c r="K35" s="18">
        <v>100</v>
      </c>
    </row>
    <row r="36" spans="1:11" s="2" customFormat="1" ht="16.5" thickBot="1" x14ac:dyDescent="0.25">
      <c r="A36" s="44">
        <v>34</v>
      </c>
      <c r="B36" s="63"/>
      <c r="C36" s="58" t="s">
        <v>119</v>
      </c>
      <c r="D36" s="45" t="s">
        <v>175</v>
      </c>
      <c r="E36" s="48" t="s">
        <v>95</v>
      </c>
      <c r="F36" s="48" t="s">
        <v>120</v>
      </c>
      <c r="G36" s="48" t="s">
        <v>7</v>
      </c>
      <c r="H36" s="14" t="s">
        <v>149</v>
      </c>
      <c r="I36" s="13">
        <v>4</v>
      </c>
      <c r="J36" s="18">
        <f t="shared" si="0"/>
        <v>320</v>
      </c>
      <c r="K36" s="18">
        <v>400</v>
      </c>
    </row>
    <row r="37" spans="1:11" s="2" customFormat="1" ht="39" thickBot="1" x14ac:dyDescent="0.3">
      <c r="A37" s="8">
        <v>35</v>
      </c>
      <c r="B37" s="64"/>
      <c r="C37" s="79" t="s">
        <v>147</v>
      </c>
      <c r="D37" s="80" t="s">
        <v>174</v>
      </c>
      <c r="E37" s="39" t="s">
        <v>95</v>
      </c>
      <c r="F37" s="39" t="s">
        <v>148</v>
      </c>
      <c r="G37" s="39" t="s">
        <v>7</v>
      </c>
      <c r="H37" s="38" t="s">
        <v>151</v>
      </c>
      <c r="I37" s="39">
        <v>20</v>
      </c>
      <c r="J37" s="22">
        <f t="shared" si="0"/>
        <v>1600</v>
      </c>
      <c r="K37" s="22">
        <v>1700</v>
      </c>
    </row>
    <row r="38" spans="1:11" s="2" customFormat="1" ht="16.5" thickBot="1" x14ac:dyDescent="0.25">
      <c r="A38" s="44">
        <v>36</v>
      </c>
      <c r="B38" s="65" t="s">
        <v>183</v>
      </c>
      <c r="C38" s="54" t="s">
        <v>122</v>
      </c>
      <c r="D38" s="54" t="s">
        <v>123</v>
      </c>
      <c r="E38" s="35" t="s">
        <v>180</v>
      </c>
      <c r="F38" s="57" t="s">
        <v>126</v>
      </c>
      <c r="G38" s="57" t="s">
        <v>127</v>
      </c>
      <c r="H38" s="35" t="s">
        <v>167</v>
      </c>
      <c r="I38" s="36">
        <v>1</v>
      </c>
      <c r="J38" s="19">
        <f t="shared" si="0"/>
        <v>80</v>
      </c>
      <c r="K38" s="19">
        <v>85</v>
      </c>
    </row>
    <row r="39" spans="1:11" s="2" customFormat="1" ht="16.5" thickBot="1" x14ac:dyDescent="0.25">
      <c r="A39" s="8">
        <v>37</v>
      </c>
      <c r="B39" s="66"/>
      <c r="C39" s="49" t="s">
        <v>124</v>
      </c>
      <c r="D39" s="49" t="s">
        <v>125</v>
      </c>
      <c r="E39" s="38" t="s">
        <v>180</v>
      </c>
      <c r="F39" s="50" t="s">
        <v>203</v>
      </c>
      <c r="G39" s="50" t="s">
        <v>128</v>
      </c>
      <c r="H39" s="38" t="s">
        <v>167</v>
      </c>
      <c r="I39" s="39">
        <v>1</v>
      </c>
      <c r="J39" s="22">
        <f t="shared" si="0"/>
        <v>80</v>
      </c>
      <c r="K39" s="22">
        <v>85</v>
      </c>
    </row>
    <row r="40" spans="1:11" s="2" customFormat="1" ht="16.5" thickBot="1" x14ac:dyDescent="0.25">
      <c r="A40" s="44">
        <v>38</v>
      </c>
      <c r="B40" s="65" t="s">
        <v>184</v>
      </c>
      <c r="C40" s="54" t="s">
        <v>129</v>
      </c>
      <c r="D40" s="54" t="s">
        <v>206</v>
      </c>
      <c r="E40" s="57" t="s">
        <v>133</v>
      </c>
      <c r="F40" s="57" t="s">
        <v>207</v>
      </c>
      <c r="G40" s="57" t="s">
        <v>134</v>
      </c>
      <c r="H40" s="35" t="s">
        <v>167</v>
      </c>
      <c r="I40" s="36">
        <v>2</v>
      </c>
      <c r="J40" s="19">
        <f t="shared" si="0"/>
        <v>160</v>
      </c>
      <c r="K40" s="19">
        <v>165</v>
      </c>
    </row>
    <row r="41" spans="1:11" s="2" customFormat="1" ht="16.5" thickBot="1" x14ac:dyDescent="0.25">
      <c r="A41" s="8">
        <v>39</v>
      </c>
      <c r="B41" s="67"/>
      <c r="C41" s="45" t="s">
        <v>208</v>
      </c>
      <c r="D41" s="45" t="s">
        <v>130</v>
      </c>
      <c r="E41" s="46" t="s">
        <v>209</v>
      </c>
      <c r="F41" s="47" t="s">
        <v>210</v>
      </c>
      <c r="G41" s="48" t="s">
        <v>211</v>
      </c>
      <c r="H41" s="14" t="s">
        <v>167</v>
      </c>
      <c r="I41" s="13">
        <v>1</v>
      </c>
      <c r="J41" s="18">
        <f t="shared" si="0"/>
        <v>80</v>
      </c>
      <c r="K41" s="18">
        <v>85</v>
      </c>
    </row>
    <row r="42" spans="1:11" s="2" customFormat="1" ht="16.5" thickBot="1" x14ac:dyDescent="0.25">
      <c r="A42" s="44">
        <v>40</v>
      </c>
      <c r="B42" s="66"/>
      <c r="C42" s="49" t="s">
        <v>131</v>
      </c>
      <c r="D42" s="49" t="s">
        <v>132</v>
      </c>
      <c r="E42" s="50" t="s">
        <v>135</v>
      </c>
      <c r="F42" s="50" t="s">
        <v>212</v>
      </c>
      <c r="G42" s="38" t="s">
        <v>182</v>
      </c>
      <c r="H42" s="38" t="s">
        <v>167</v>
      </c>
      <c r="I42" s="39">
        <v>1</v>
      </c>
      <c r="J42" s="22">
        <f t="shared" si="0"/>
        <v>80</v>
      </c>
      <c r="K42" s="22">
        <v>82</v>
      </c>
    </row>
    <row r="43" spans="1:11" s="2" customFormat="1" ht="16.5" thickBot="1" x14ac:dyDescent="0.25">
      <c r="A43" s="8">
        <v>41</v>
      </c>
      <c r="B43" s="31" t="s">
        <v>185</v>
      </c>
      <c r="C43" s="51" t="s">
        <v>213</v>
      </c>
      <c r="D43" s="51" t="s">
        <v>138</v>
      </c>
      <c r="E43" s="28" t="s">
        <v>180</v>
      </c>
      <c r="F43" s="52" t="s">
        <v>214</v>
      </c>
      <c r="G43" s="28" t="s">
        <v>215</v>
      </c>
      <c r="H43" s="28" t="s">
        <v>167</v>
      </c>
      <c r="I43" s="26">
        <v>1</v>
      </c>
      <c r="J43" s="30">
        <f t="shared" si="0"/>
        <v>80</v>
      </c>
      <c r="K43" s="30">
        <v>85</v>
      </c>
    </row>
    <row r="44" spans="1:11" s="2" customFormat="1" ht="16.5" thickBot="1" x14ac:dyDescent="0.25">
      <c r="A44" s="44">
        <v>42</v>
      </c>
      <c r="B44" s="67"/>
      <c r="C44" s="45" t="s">
        <v>152</v>
      </c>
      <c r="D44" s="45" t="s">
        <v>153</v>
      </c>
      <c r="E44" s="14" t="s">
        <v>180</v>
      </c>
      <c r="F44" s="81" t="s">
        <v>154</v>
      </c>
      <c r="G44" s="81" t="s">
        <v>155</v>
      </c>
      <c r="H44" s="14" t="s">
        <v>167</v>
      </c>
      <c r="I44" s="13">
        <v>1</v>
      </c>
      <c r="J44" s="18">
        <f t="shared" si="0"/>
        <v>80</v>
      </c>
      <c r="K44" s="14" t="s">
        <v>167</v>
      </c>
    </row>
    <row r="45" spans="1:11" s="2" customFormat="1" ht="16.5" thickBot="1" x14ac:dyDescent="0.25">
      <c r="A45" s="8">
        <v>43</v>
      </c>
      <c r="B45" s="67"/>
      <c r="C45" s="45" t="s">
        <v>156</v>
      </c>
      <c r="D45" s="45" t="s">
        <v>216</v>
      </c>
      <c r="E45" s="14" t="s">
        <v>180</v>
      </c>
      <c r="F45" s="81" t="s">
        <v>157</v>
      </c>
      <c r="G45" s="81" t="s">
        <v>158</v>
      </c>
      <c r="H45" s="14" t="s">
        <v>167</v>
      </c>
      <c r="I45" s="13">
        <v>2</v>
      </c>
      <c r="J45" s="18">
        <f t="shared" si="0"/>
        <v>160</v>
      </c>
      <c r="K45" s="82" t="s">
        <v>167</v>
      </c>
    </row>
    <row r="46" spans="1:11" s="2" customFormat="1" ht="16.5" thickBot="1" x14ac:dyDescent="0.25">
      <c r="A46" s="10">
        <v>44</v>
      </c>
      <c r="B46" s="66"/>
      <c r="C46" s="49" t="s">
        <v>136</v>
      </c>
      <c r="D46" s="49" t="s">
        <v>137</v>
      </c>
      <c r="E46" s="38" t="s">
        <v>180</v>
      </c>
      <c r="F46" s="83" t="s">
        <v>159</v>
      </c>
      <c r="G46" s="83" t="s">
        <v>160</v>
      </c>
      <c r="H46" s="38" t="s">
        <v>167</v>
      </c>
      <c r="I46" s="39">
        <v>1</v>
      </c>
      <c r="J46" s="22">
        <f t="shared" si="0"/>
        <v>80</v>
      </c>
      <c r="K46" s="22">
        <v>85</v>
      </c>
    </row>
    <row r="47" spans="1:11" x14ac:dyDescent="0.25">
      <c r="A47" s="2"/>
      <c r="B47" s="2"/>
      <c r="C47" s="2"/>
      <c r="D47" s="2"/>
      <c r="E47" s="2"/>
      <c r="F47" s="2"/>
      <c r="G47" s="2"/>
      <c r="H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J70" s="2"/>
      <c r="K70" s="2"/>
    </row>
  </sheetData>
  <mergeCells count="8">
    <mergeCell ref="A1:K1"/>
    <mergeCell ref="B20:B22"/>
    <mergeCell ref="B26:B37"/>
    <mergeCell ref="B23:B25"/>
    <mergeCell ref="B3:B16"/>
    <mergeCell ref="B38:B39"/>
    <mergeCell ref="B40:B42"/>
    <mergeCell ref="B44:B46"/>
  </mergeCells>
  <hyperlinks>
    <hyperlink ref="F11" tooltip="Manufacturer" display="'GCM1555C1H470JA16D"/>
    <hyperlink ref="F33" tooltip="Manufacturer" display="'RT0402FRE071KL"/>
    <hyperlink ref="F34" tooltip="Manufacturer" display="'RC0402FR-074K7L"/>
    <hyperlink ref="F31" tooltip="Manufacturer" display="'RT0402FRE0727RL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</dc:creator>
  <cp:lastModifiedBy>eSpark Group</cp:lastModifiedBy>
  <dcterms:created xsi:type="dcterms:W3CDTF">2020-04-11T17:47:44Z</dcterms:created>
  <dcterms:modified xsi:type="dcterms:W3CDTF">2020-05-25T13:53:05Z</dcterms:modified>
</cp:coreProperties>
</file>