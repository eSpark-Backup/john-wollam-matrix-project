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\John Wollam\John W_Latest\_Deliverables\_BOM\"/>
    </mc:Choice>
  </mc:AlternateContent>
  <bookViews>
    <workbookView xWindow="0" yWindow="0" windowWidth="20490" windowHeight="7620"/>
  </bookViews>
  <sheets>
    <sheet name="Joh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3" i="1" l="1"/>
  <c r="O37" i="1"/>
  <c r="K35" i="1"/>
  <c r="O31" i="1"/>
  <c r="O27" i="1"/>
  <c r="O28" i="1"/>
  <c r="O29" i="1"/>
  <c r="O30" i="1"/>
  <c r="O32" i="1"/>
  <c r="O33" i="1"/>
  <c r="O34" i="1"/>
  <c r="O35" i="1"/>
  <c r="O36" i="1"/>
  <c r="O26" i="1"/>
  <c r="O25" i="1"/>
  <c r="O24" i="1"/>
  <c r="O22" i="1"/>
  <c r="O21" i="1"/>
  <c r="O20" i="1"/>
  <c r="K20" i="1"/>
  <c r="O19" i="1"/>
  <c r="O18" i="1"/>
  <c r="O17" i="1"/>
  <c r="O16" i="1"/>
  <c r="O14" i="1"/>
  <c r="O13" i="1"/>
  <c r="O12" i="1"/>
  <c r="O10" i="1"/>
  <c r="O9" i="1"/>
  <c r="O4" i="1"/>
  <c r="K4" i="1"/>
  <c r="O3" i="1"/>
  <c r="O47" i="1" l="1"/>
  <c r="O40" i="1"/>
  <c r="O41" i="1"/>
  <c r="O42" i="1"/>
  <c r="O38" i="1"/>
  <c r="O39" i="1"/>
  <c r="O15" i="1"/>
  <c r="O11" i="1"/>
  <c r="O5" i="1"/>
  <c r="O6" i="1"/>
  <c r="O7" i="1"/>
  <c r="O8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3" i="1"/>
  <c r="O48" i="1" l="1"/>
  <c r="O51" i="1" s="1"/>
</calcChain>
</file>

<file path=xl/sharedStrings.xml><?xml version="1.0" encoding="utf-8"?>
<sst xmlns="http://schemas.openxmlformats.org/spreadsheetml/2006/main" count="415" uniqueCount="281">
  <si>
    <t>Description</t>
  </si>
  <si>
    <t>Designator</t>
  </si>
  <si>
    <t>Manufacturer</t>
  </si>
  <si>
    <t>Manufacturer Part Number</t>
  </si>
  <si>
    <t>Quantity</t>
  </si>
  <si>
    <t>Value</t>
  </si>
  <si>
    <t>0.1uF</t>
  </si>
  <si>
    <t>Yageo</t>
  </si>
  <si>
    <t>1uF</t>
  </si>
  <si>
    <t>10nF</t>
  </si>
  <si>
    <t>10uF</t>
  </si>
  <si>
    <t>S. No.</t>
  </si>
  <si>
    <t>Comment Type</t>
  </si>
  <si>
    <t>Footprint (Package)</t>
  </si>
  <si>
    <t>Total Quantity</t>
  </si>
  <si>
    <t>Link</t>
  </si>
  <si>
    <t>Remarks</t>
  </si>
  <si>
    <t>Capacitor</t>
  </si>
  <si>
    <t>LED</t>
  </si>
  <si>
    <t>Cap0603</t>
  </si>
  <si>
    <t>Resistor</t>
  </si>
  <si>
    <t xml:space="preserve">Unit Price </t>
  </si>
  <si>
    <t xml:space="preserve">Total Price </t>
  </si>
  <si>
    <t>LCSC /MOQ</t>
  </si>
  <si>
    <t>CAP CER 1UF 25V X5R 0402</t>
  </si>
  <si>
    <t>CAP CER 10000PF 25V X7R 0402</t>
  </si>
  <si>
    <t>CAP CER 20PF 25V C0H 0201</t>
  </si>
  <si>
    <t>CAP CER 4.7UF 25V X5R 0603</t>
  </si>
  <si>
    <t>CAP CER 22UF 25V X5R 0805</t>
  </si>
  <si>
    <t>Cap0402</t>
  </si>
  <si>
    <t>GRM155R61E105KA12D</t>
  </si>
  <si>
    <t>Murata</t>
  </si>
  <si>
    <t>CC0402KRX7R8BB103</t>
  </si>
  <si>
    <t>GJM0336C1E200JB01D</t>
  </si>
  <si>
    <t>CL10A475KA8NQNC</t>
  </si>
  <si>
    <t>Samsung</t>
  </si>
  <si>
    <t>Cap0805</t>
  </si>
  <si>
    <t>20pF</t>
  </si>
  <si>
    <t>22uF</t>
  </si>
  <si>
    <t>Diode</t>
  </si>
  <si>
    <t>Inductor</t>
  </si>
  <si>
    <t>Taiyo Yuden</t>
  </si>
  <si>
    <t xml:space="preserve">Notes: </t>
  </si>
  <si>
    <t xml:space="preserve">2- Supplier costing and custom charges are added in the final cost. </t>
  </si>
  <si>
    <t xml:space="preserve">Total Component Cost </t>
  </si>
  <si>
    <t>Custom Charges</t>
  </si>
  <si>
    <t>Shipping Charges</t>
  </si>
  <si>
    <t xml:space="preserve">Total </t>
  </si>
  <si>
    <t>CAP CER 10UF 10V X5R 0402</t>
  </si>
  <si>
    <t>CAP ALUM POLY 180UF 20% 16V SMD</t>
  </si>
  <si>
    <t>CAP CER 47UF 25V X5R 1206</t>
  </si>
  <si>
    <t>CAP CER 47PF 50V C0G/NP0 0402</t>
  </si>
  <si>
    <t>CAP CER 10UF 25V X5R 0603</t>
  </si>
  <si>
    <t>C11</t>
  </si>
  <si>
    <t>C13</t>
  </si>
  <si>
    <t>C14</t>
  </si>
  <si>
    <t>CU6</t>
  </si>
  <si>
    <t>CU7</t>
  </si>
  <si>
    <t>GRM21BR61E226ME44K</t>
  </si>
  <si>
    <t>GRM31CR61E476ME44L</t>
  </si>
  <si>
    <t>GCM1555C1H470JA16D</t>
  </si>
  <si>
    <t>TMK107BBJ106MA-T</t>
  </si>
  <si>
    <t>Cap1206</t>
  </si>
  <si>
    <t>180uF</t>
  </si>
  <si>
    <t>47uF</t>
  </si>
  <si>
    <t>47pF</t>
  </si>
  <si>
    <t>4.7uF</t>
  </si>
  <si>
    <t>LED GREEN CLEAR CHIP 0603 SMD</t>
  </si>
  <si>
    <t>LTST-C190KGKT</t>
  </si>
  <si>
    <t>FIXED IND 3.3UH 6A 30 MOHM SMD</t>
  </si>
  <si>
    <t>LF1</t>
  </si>
  <si>
    <t>HCM0703-3R3-R</t>
  </si>
  <si>
    <t>Bill of Material (BOM) for John</t>
  </si>
  <si>
    <t>Cap0201</t>
  </si>
  <si>
    <t>Radial</t>
  </si>
  <si>
    <t>D1,D2</t>
  </si>
  <si>
    <t>NXP Semiconductors</t>
  </si>
  <si>
    <t>SOD123W</t>
  </si>
  <si>
    <t>PTC RESET FUSE 16V 2.5A 1812</t>
  </si>
  <si>
    <t>F1</t>
  </si>
  <si>
    <t>MF-MSMF250/16X-2</t>
  </si>
  <si>
    <t>Bourns</t>
  </si>
  <si>
    <t>LED 0603</t>
  </si>
  <si>
    <t>Vishay Lite-On</t>
  </si>
  <si>
    <t xml:space="preserve">Fuse </t>
  </si>
  <si>
    <t>FERRITE BEAD 120 OHM 0402 1LN</t>
  </si>
  <si>
    <t>FB1</t>
  </si>
  <si>
    <t>MMZ1005F121ET000</t>
  </si>
  <si>
    <t>TDK</t>
  </si>
  <si>
    <t>L1</t>
  </si>
  <si>
    <t>Eaton Cooper</t>
  </si>
  <si>
    <t>P-Channel 30V Fast Switching MOSFET</t>
  </si>
  <si>
    <t>Q1</t>
  </si>
  <si>
    <t>QM3001K</t>
  </si>
  <si>
    <t>SOT-23</t>
  </si>
  <si>
    <t>TY Semiconductor</t>
  </si>
  <si>
    <t>BSS138LT1G</t>
  </si>
  <si>
    <t>ON Semiconductor</t>
  </si>
  <si>
    <t>MOSFET P-CH 20V 2.8A SOT-23</t>
  </si>
  <si>
    <t>PMV65XP,215</t>
  </si>
  <si>
    <t>Nexperia</t>
  </si>
  <si>
    <t>MOSFET N-CH 50V 200MA SOT-23</t>
  </si>
  <si>
    <t>Q13'Q14'Q15'Q16'Q25'Q26'Q27'Q28'Q37'Q38'Q43'Q44'Q45'Q46'Q55'Q56'Q57'Q58'Q67'Q68</t>
  </si>
  <si>
    <t>Q2'Q17'Q18'Q19'Q20'Q21'Q22'Q23'Q24''Q29'Q30'Q31'Q32'Q33'Q34'Q35'Q36'Q39'Q40'Q41'Q42'Q47'Q48'Q49'Q50'Q51'Q52'Q53'Q54'Q59'Q60'Q61'Q62'Q63'Q64'Q65'Q66'Q69'Q70'Q71'Q72'Q73'Q74'Q75'Q76</t>
  </si>
  <si>
    <t>RES SMD 10K OHM 1% 1/16W 0402</t>
  </si>
  <si>
    <t>RC0402FR-0710KL</t>
  </si>
  <si>
    <t>Res0402</t>
  </si>
  <si>
    <t>RES SMD 33.2K OHM 1% 1/16W 0402</t>
  </si>
  <si>
    <t>R2</t>
  </si>
  <si>
    <t>RC0402FR-0733K2L</t>
  </si>
  <si>
    <t>RES SMD 330K OHM 1% 1/16W 0402</t>
  </si>
  <si>
    <t>R6</t>
  </si>
  <si>
    <t>RES SMD 220K OHM 1% 1/16W 0402</t>
  </si>
  <si>
    <t>RES SMD 100 OHM 1% 1/16W 0402</t>
  </si>
  <si>
    <t>R8</t>
  </si>
  <si>
    <t>RES SMD 270K OHM 1% 1/16W 0402</t>
  </si>
  <si>
    <t>R10</t>
  </si>
  <si>
    <t>RES SMD 27 OHM 1% 1/16W 0402</t>
  </si>
  <si>
    <t>RC0402FR-07330KL</t>
  </si>
  <si>
    <t>RC0402FR-07220KL</t>
  </si>
  <si>
    <t>RC0402FR-07100RL</t>
  </si>
  <si>
    <t>RC0402FR-07270KL</t>
  </si>
  <si>
    <t>RT0402FRE0727RL</t>
  </si>
  <si>
    <t>RES SMD 1K OHM 1% 1/16W 0402</t>
  </si>
  <si>
    <t>RT0402FRE071KL</t>
  </si>
  <si>
    <t>RES SMD 4.7K OHM 1% 1/16W 0402</t>
  </si>
  <si>
    <t>RC0402FR-074K7L</t>
  </si>
  <si>
    <t>RES SMD 54.9K OHM 1% 1/16W 0402</t>
  </si>
  <si>
    <t>RF2</t>
  </si>
  <si>
    <t>AC0402FR-0754K9L</t>
  </si>
  <si>
    <t>RES SMD 20K OHM 1% 1/16W 0402</t>
  </si>
  <si>
    <t>RC0402JR-0720KL</t>
  </si>
  <si>
    <t>R1'R4'R59'R60'R61'R62'R63'R64'R65'R66'R71'R72'R73'R74'R75'R76'R77'R78'R83'R84'R85'R86'R87'R88'R89'R90'R91'R92'R93'R94'R95'R96'R97'R102'R103'R104'R105'R106'R107'R108'R109'R114'R115'R116'R117'R120'R121'R122'R123'RF3</t>
  </si>
  <si>
    <t>SWITCH TACTILE SPST-NO 0.05A 12V</t>
  </si>
  <si>
    <t>SW4</t>
  </si>
  <si>
    <t>2 Position SPDT Miniature Slide Switch 100MA 12V Through Hole, Right Angle</t>
  </si>
  <si>
    <t>SW5</t>
  </si>
  <si>
    <t>B3U-1000P</t>
  </si>
  <si>
    <t>Omron</t>
  </si>
  <si>
    <t>ITT C&amp;K</t>
  </si>
  <si>
    <t>IC REG BUCK ADJ 3A TSOT23-6</t>
  </si>
  <si>
    <t>U3</t>
  </si>
  <si>
    <t>IC MCU 32BIT 128KB FLASH 48LQFP</t>
  </si>
  <si>
    <t>U4</t>
  </si>
  <si>
    <t>SOT-23-6</t>
  </si>
  <si>
    <t>Texas Instruments</t>
  </si>
  <si>
    <t>48LQFP</t>
  </si>
  <si>
    <t>CONN USB MICRO B RECPT SMT R/A</t>
  </si>
  <si>
    <t>USB1</t>
  </si>
  <si>
    <t>X1</t>
  </si>
  <si>
    <t>10K</t>
  </si>
  <si>
    <t>330K</t>
  </si>
  <si>
    <t>220K</t>
  </si>
  <si>
    <t>270K</t>
  </si>
  <si>
    <t>1K</t>
  </si>
  <si>
    <t>33.2K</t>
  </si>
  <si>
    <t>4.7K</t>
  </si>
  <si>
    <t>54.9K</t>
  </si>
  <si>
    <t>RES SMD 330 OHM 1% 1/16W 0402</t>
  </si>
  <si>
    <t>RC0402FR-07330RL</t>
  </si>
  <si>
    <t>20K</t>
  </si>
  <si>
    <t>27R</t>
  </si>
  <si>
    <t>330R</t>
  </si>
  <si>
    <t>Socket</t>
  </si>
  <si>
    <t>TERM BLK 12P SIDE ENT 5.08MM PCB</t>
  </si>
  <si>
    <t>J6</t>
  </si>
  <si>
    <t>1729225</t>
  </si>
  <si>
    <t>Phoenix Contact</t>
  </si>
  <si>
    <t>CONN HEADER VERT 11POS 2.54MM</t>
  </si>
  <si>
    <t>0022232111</t>
  </si>
  <si>
    <t>Molex</t>
  </si>
  <si>
    <t>10118192-0001LF</t>
  </si>
  <si>
    <t>Amphenol FCI</t>
  </si>
  <si>
    <t>LCSC Part Number</t>
  </si>
  <si>
    <t>LCSC</t>
  </si>
  <si>
    <t>C403725</t>
  </si>
  <si>
    <t>C69335</t>
  </si>
  <si>
    <t xml:space="preserve">C126511
</t>
  </si>
  <si>
    <t xml:space="preserve">C386081
</t>
  </si>
  <si>
    <t>C77009</t>
  </si>
  <si>
    <t>C327025</t>
  </si>
  <si>
    <t>C161300</t>
  </si>
  <si>
    <t>C125094</t>
  </si>
  <si>
    <t>C210838</t>
  </si>
  <si>
    <t>C89458</t>
  </si>
  <si>
    <t>C427310</t>
  </si>
  <si>
    <t>C8490</t>
  </si>
  <si>
    <t>C75561</t>
  </si>
  <si>
    <t>C138030</t>
  </si>
  <si>
    <t>C106232</t>
  </si>
  <si>
    <t>C163475</t>
  </si>
  <si>
    <t>C136974</t>
  </si>
  <si>
    <t>C227137</t>
  </si>
  <si>
    <t>C1, C23, C33, CF1</t>
  </si>
  <si>
    <t>C9, CS1</t>
  </si>
  <si>
    <t>C15, C16</t>
  </si>
  <si>
    <t>C25, CU5</t>
  </si>
  <si>
    <t>C2, C8, C10, C12, C17, C32, CF4, CF5, CF8'CU1, CU2, CU3, CU4, CU8</t>
  </si>
  <si>
    <t>LED1, LED2, LED3, LED4, LED5, LED6, LED7, LED8, LED9, LED10, LED11, LED12, LED13, LED14, LED15, LED16, LED17, LED18, LED19, LED20, LED21, LED22</t>
  </si>
  <si>
    <t>C137902</t>
  </si>
  <si>
    <t>C105875</t>
  </si>
  <si>
    <t>C231329</t>
  </si>
  <si>
    <t>C221828</t>
  </si>
  <si>
    <t>-------</t>
  </si>
  <si>
    <t>C122548</t>
  </si>
  <si>
    <t xml:space="preserve">C138006
</t>
  </si>
  <si>
    <t>C60490</t>
  </si>
  <si>
    <t>C386033</t>
  </si>
  <si>
    <t>CF2, CF3</t>
  </si>
  <si>
    <t>C34, C35</t>
  </si>
  <si>
    <t>CF6, CF7</t>
  </si>
  <si>
    <t>CU9, CU10</t>
  </si>
  <si>
    <t>R7, R9</t>
  </si>
  <si>
    <t>100R</t>
  </si>
  <si>
    <t>R67, R68, R69, R70, R79, R80, R81, R82, R87, R88, R98, R99, R100, R101, R110, R111, R112, R113, R118, R119</t>
  </si>
  <si>
    <t>RF10, RU1, RU2, RU3</t>
  </si>
  <si>
    <t>R16, R17</t>
  </si>
  <si>
    <t>C132564</t>
  </si>
  <si>
    <t>C74909</t>
  </si>
  <si>
    <t>C316853</t>
  </si>
  <si>
    <t>C304616</t>
  </si>
  <si>
    <t>C161205</t>
  </si>
  <si>
    <t xml:space="preserve">C92361
</t>
  </si>
  <si>
    <t>C123453</t>
  </si>
  <si>
    <t>J1, J2, J3, J4, J5, J8</t>
  </si>
  <si>
    <t>R3,R58</t>
  </si>
  <si>
    <t>R38, R46, R48, R50</t>
  </si>
  <si>
    <t>Mosfet</t>
  </si>
  <si>
    <t>Custom</t>
  </si>
  <si>
    <t>Fuse 1812</t>
  </si>
  <si>
    <t>STMicroelectronics</t>
  </si>
  <si>
    <t>Switch</t>
  </si>
  <si>
    <t>IC</t>
  </si>
  <si>
    <t>Crystal</t>
  </si>
  <si>
    <t>Connector</t>
  </si>
  <si>
    <t>1- The costing is done for Eighty (80) boards. All components will be calculated with multiplication factor Eighty 80</t>
  </si>
  <si>
    <t>LDK105CBJ106MVLF</t>
  </si>
  <si>
    <t>Alternate</t>
  </si>
  <si>
    <t>CAP CER 0.1UF 16V Y5V 0402</t>
  </si>
  <si>
    <t>0402F104Z160</t>
  </si>
  <si>
    <t>Walsin Tech Corp</t>
  </si>
  <si>
    <t>16SVPF180M</t>
  </si>
  <si>
    <t>PANASONIC</t>
  </si>
  <si>
    <t>C136277</t>
  </si>
  <si>
    <t>CL05A474KA5NNNC</t>
  </si>
  <si>
    <t>470nF</t>
  </si>
  <si>
    <t>CAP CER 470nF 25V X5R 0402</t>
  </si>
  <si>
    <t>CAP CER 47nF 16V X5R 0201</t>
  </si>
  <si>
    <t>CC0201KRX5R7BB473</t>
  </si>
  <si>
    <t>47nF</t>
  </si>
  <si>
    <t>C505465</t>
  </si>
  <si>
    <t>GRM21BR61E226ME44L</t>
  </si>
  <si>
    <t>C86816</t>
  </si>
  <si>
    <t>DIODE SCHOTTKY 60V 1A SOD123W</t>
  </si>
  <si>
    <t>PMEG6010ER,115</t>
  </si>
  <si>
    <t>C456121</t>
  </si>
  <si>
    <t>COILMX</t>
  </si>
  <si>
    <t>Ind0402</t>
  </si>
  <si>
    <t>Will be sourced Externally</t>
  </si>
  <si>
    <t>OS102011MA1QN1C</t>
  </si>
  <si>
    <t>FIXED IND 2.2UH 5.5A 29 MOHM SMD</t>
  </si>
  <si>
    <t>MS0530-2R2M</t>
  </si>
  <si>
    <t>C380163</t>
  </si>
  <si>
    <t>U1, U2</t>
  </si>
  <si>
    <t>TPS563201DDCR</t>
  </si>
  <si>
    <t>C116592</t>
  </si>
  <si>
    <t>TVS DIODE 5V 6.8V 6DFN</t>
  </si>
  <si>
    <t>uDFN-6</t>
  </si>
  <si>
    <t>SP3014-02UTG</t>
  </si>
  <si>
    <t>Littlefuse</t>
  </si>
  <si>
    <t>C207282</t>
  </si>
  <si>
    <t>STM32F070CBT6</t>
  </si>
  <si>
    <t>CRYSTAL 8.0000MHZ 20PF SMD</t>
  </si>
  <si>
    <t>49MD-8.000-20-20-20/A</t>
  </si>
  <si>
    <t xml:space="preserve"> Suzhou Liming Elec</t>
  </si>
  <si>
    <t>C240959</t>
  </si>
  <si>
    <t>Digikey</t>
  </si>
  <si>
    <t>DO NOT Mount</t>
  </si>
  <si>
    <t>P2, P3</t>
  </si>
  <si>
    <t>-----</t>
  </si>
  <si>
    <t xml:space="preserve">277-1257-ND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</si>
</sst>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164" formatCode="&quot;$&quot;#,##0.000_);[Red]\(&quot;$&quot;#,##0.000\)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3" borderId="1" xfId="1" quotePrefix="1" applyNumberForma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2" fillId="3" borderId="1" xfId="1" quotePrefix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Fill="1" applyBorder="1" applyAlignment="1">
      <alignment wrapText="1"/>
    </xf>
    <xf numFmtId="165" fontId="6" fillId="2" borderId="14" xfId="0" applyNumberFormat="1" applyFont="1" applyFill="1" applyBorder="1" applyAlignment="1">
      <alignment horizontal="center" vertical="center"/>
    </xf>
    <xf numFmtId="6" fontId="6" fillId="2" borderId="2" xfId="0" applyNumberFormat="1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164" fontId="4" fillId="3" borderId="1" xfId="0" quotePrefix="1" applyNumberFormat="1" applyFont="1" applyFill="1" applyBorder="1" applyAlignment="1">
      <alignment horizontal="center" vertical="center"/>
    </xf>
    <xf numFmtId="8" fontId="4" fillId="3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1" quotePrefix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vertical="center" wrapText="1"/>
    </xf>
    <xf numFmtId="0" fontId="4" fillId="0" borderId="10" xfId="0" quotePrefix="1" applyFont="1" applyBorder="1"/>
    <xf numFmtId="0" fontId="4" fillId="0" borderId="10" xfId="0" quotePrefix="1" applyFont="1" applyBorder="1" applyAlignment="1">
      <alignment horizontal="center"/>
    </xf>
    <xf numFmtId="0" fontId="0" fillId="3" borderId="10" xfId="0" applyFont="1" applyFill="1" applyBorder="1" applyAlignment="1">
      <alignment horizontal="center" vertical="center"/>
    </xf>
    <xf numFmtId="164" fontId="4" fillId="3" borderId="10" xfId="0" quotePrefix="1" applyNumberFormat="1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4" fillId="0" borderId="12" xfId="0" quotePrefix="1" applyFont="1" applyBorder="1"/>
    <xf numFmtId="0" fontId="4" fillId="0" borderId="12" xfId="0" quotePrefix="1" applyFont="1" applyBorder="1" applyAlignment="1">
      <alignment horizontal="center"/>
    </xf>
    <xf numFmtId="0" fontId="4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0" fillId="3" borderId="12" xfId="0" applyFont="1" applyFill="1" applyBorder="1" applyAlignment="1">
      <alignment horizontal="center" vertical="center"/>
    </xf>
    <xf numFmtId="49" fontId="2" fillId="3" borderId="12" xfId="1" quotePrefix="1" applyNumberFormat="1" applyFill="1" applyBorder="1" applyAlignment="1">
      <alignment horizontal="center" vertical="center" wrapText="1"/>
    </xf>
    <xf numFmtId="164" fontId="4" fillId="3" borderId="12" xfId="0" quotePrefix="1" applyNumberFormat="1" applyFont="1" applyFill="1" applyBorder="1" applyAlignment="1">
      <alignment horizontal="center" vertical="center"/>
    </xf>
    <xf numFmtId="8" fontId="4" fillId="3" borderId="12" xfId="0" quotePrefix="1" applyNumberFormat="1" applyFont="1" applyFill="1" applyBorder="1" applyAlignment="1">
      <alignment horizontal="center" vertical="center"/>
    </xf>
    <xf numFmtId="0" fontId="4" fillId="0" borderId="31" xfId="0" quotePrefix="1" applyFont="1" applyBorder="1"/>
    <xf numFmtId="0" fontId="4" fillId="0" borderId="32" xfId="0" quotePrefix="1" applyFont="1" applyBorder="1"/>
    <xf numFmtId="0" fontId="4" fillId="0" borderId="18" xfId="0" quotePrefix="1" applyFont="1" applyBorder="1"/>
    <xf numFmtId="0" fontId="4" fillId="3" borderId="18" xfId="0" quotePrefix="1" applyFont="1" applyFill="1" applyBorder="1" applyAlignment="1">
      <alignment horizontal="center" vertical="center"/>
    </xf>
    <xf numFmtId="0" fontId="4" fillId="0" borderId="18" xfId="0" quotePrefix="1" applyFont="1" applyBorder="1" applyAlignment="1">
      <alignment horizontal="center"/>
    </xf>
    <xf numFmtId="0" fontId="4" fillId="3" borderId="18" xfId="0" quotePrefix="1" applyFont="1" applyFill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0" fontId="2" fillId="3" borderId="18" xfId="1" applyFill="1" applyBorder="1" applyAlignment="1">
      <alignment horizontal="center" vertical="center"/>
    </xf>
    <xf numFmtId="164" fontId="4" fillId="3" borderId="18" xfId="0" quotePrefix="1" applyNumberFormat="1" applyFont="1" applyFill="1" applyBorder="1" applyAlignment="1">
      <alignment horizontal="center" vertical="center"/>
    </xf>
    <xf numFmtId="8" fontId="4" fillId="3" borderId="18" xfId="0" quotePrefix="1" applyNumberFormat="1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0" borderId="18" xfId="0" quotePrefix="1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3" borderId="10" xfId="0" quotePrefix="1" applyFont="1" applyFill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/>
    </xf>
    <xf numFmtId="0" fontId="2" fillId="3" borderId="10" xfId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3" borderId="12" xfId="0" quotePrefix="1" applyFont="1" applyFill="1" applyBorder="1" applyAlignment="1">
      <alignment horizontal="center" vertical="center" wrapText="1"/>
    </xf>
    <xf numFmtId="0" fontId="4" fillId="3" borderId="12" xfId="0" quotePrefix="1" applyFont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4" fillId="0" borderId="35" xfId="0" quotePrefix="1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35" xfId="0" quotePrefix="1" applyFont="1" applyBorder="1"/>
    <xf numFmtId="0" fontId="5" fillId="0" borderId="2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0" borderId="12" xfId="0" quotePrefix="1" applyFont="1" applyBorder="1" applyAlignment="1">
      <alignment wrapText="1"/>
    </xf>
    <xf numFmtId="0" fontId="2" fillId="3" borderId="12" xfId="1" quotePrefix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0" borderId="31" xfId="0" quotePrefix="1" applyFont="1" applyBorder="1" applyAlignment="1">
      <alignment vertical="center"/>
    </xf>
    <xf numFmtId="0" fontId="4" fillId="0" borderId="32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 wrapText="1"/>
    </xf>
    <xf numFmtId="0" fontId="4" fillId="0" borderId="30" xfId="0" quotePrefix="1" applyFont="1" applyBorder="1" applyAlignment="1">
      <alignment vertical="center"/>
    </xf>
    <xf numFmtId="0" fontId="9" fillId="0" borderId="12" xfId="0" quotePrefix="1" applyFont="1" applyBorder="1" applyAlignment="1">
      <alignment horizontal="center"/>
    </xf>
    <xf numFmtId="0" fontId="3" fillId="3" borderId="28" xfId="0" applyFont="1" applyFill="1" applyBorder="1" applyAlignment="1">
      <alignment horizontal="center" vertical="center"/>
    </xf>
    <xf numFmtId="0" fontId="4" fillId="4" borderId="30" xfId="0" quotePrefix="1" applyFont="1" applyFill="1" applyBorder="1"/>
    <xf numFmtId="0" fontId="4" fillId="4" borderId="10" xfId="0" quotePrefix="1" applyFont="1" applyFill="1" applyBorder="1"/>
    <xf numFmtId="0" fontId="4" fillId="4" borderId="10" xfId="0" quotePrefix="1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 vertical="center"/>
    </xf>
    <xf numFmtId="0" fontId="2" fillId="4" borderId="8" xfId="1" applyFill="1" applyBorder="1" applyAlignment="1">
      <alignment horizontal="center"/>
    </xf>
    <xf numFmtId="164" fontId="4" fillId="4" borderId="10" xfId="0" quotePrefix="1" applyNumberFormat="1" applyFont="1" applyFill="1" applyBorder="1" applyAlignment="1">
      <alignment horizontal="center" vertical="center"/>
    </xf>
    <xf numFmtId="8" fontId="4" fillId="4" borderId="10" xfId="0" quotePrefix="1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" fillId="4" borderId="31" xfId="0" quotePrefix="1" applyFont="1" applyFill="1" applyBorder="1" applyAlignment="1">
      <alignment vertical="center"/>
    </xf>
    <xf numFmtId="0" fontId="4" fillId="4" borderId="1" xfId="0" quotePrefix="1" applyFont="1" applyFill="1" applyBorder="1" applyAlignment="1">
      <alignment wrapText="1"/>
    </xf>
    <xf numFmtId="0" fontId="4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164" fontId="4" fillId="4" borderId="1" xfId="0" quotePrefix="1" applyNumberFormat="1" applyFont="1" applyFill="1" applyBorder="1" applyAlignment="1">
      <alignment horizontal="center" vertical="center"/>
    </xf>
    <xf numFmtId="8" fontId="4" fillId="4" borderId="1" xfId="0" quotePrefix="1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4" fillId="5" borderId="1" xfId="0" quotePrefix="1" applyFont="1" applyFill="1" applyBorder="1"/>
    <xf numFmtId="0" fontId="4" fillId="5" borderId="1" xfId="0" quotePrefix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4" fillId="4" borderId="31" xfId="0" quotePrefix="1" applyFont="1" applyFill="1" applyBorder="1"/>
    <xf numFmtId="0" fontId="4" fillId="4" borderId="1" xfId="0" quotePrefix="1" applyFont="1" applyFill="1" applyBorder="1"/>
    <xf numFmtId="0" fontId="4" fillId="4" borderId="1" xfId="0" quotePrefix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4" borderId="35" xfId="0" quotePrefix="1" applyFont="1" applyFill="1" applyBorder="1"/>
    <xf numFmtId="0" fontId="4" fillId="4" borderId="18" xfId="0" quotePrefix="1" applyFont="1" applyFill="1" applyBorder="1"/>
    <xf numFmtId="0" fontId="4" fillId="4" borderId="18" xfId="0" quotePrefix="1" applyFont="1" applyFill="1" applyBorder="1" applyAlignment="1">
      <alignment horizontal="center" vertical="center"/>
    </xf>
    <xf numFmtId="0" fontId="4" fillId="4" borderId="18" xfId="0" quotePrefix="1" applyFont="1" applyFill="1" applyBorder="1" applyAlignment="1">
      <alignment horizontal="center"/>
    </xf>
    <xf numFmtId="0" fontId="4" fillId="4" borderId="18" xfId="0" quotePrefix="1" applyFont="1" applyFill="1" applyBorder="1" applyAlignment="1">
      <alignment horizontal="center" vertical="center" wrapText="1"/>
    </xf>
    <xf numFmtId="0" fontId="0" fillId="4" borderId="18" xfId="0" applyFont="1" applyFill="1" applyBorder="1" applyAlignment="1">
      <alignment horizontal="center" vertical="center"/>
    </xf>
    <xf numFmtId="0" fontId="2" fillId="4" borderId="18" xfId="1" applyFill="1" applyBorder="1" applyAlignment="1">
      <alignment horizontal="center" vertical="center"/>
    </xf>
    <xf numFmtId="164" fontId="4" fillId="4" borderId="18" xfId="0" quotePrefix="1" applyNumberFormat="1" applyFont="1" applyFill="1" applyBorder="1" applyAlignment="1">
      <alignment horizontal="center" vertical="center"/>
    </xf>
    <xf numFmtId="8" fontId="4" fillId="4" borderId="18" xfId="0" quotePrefix="1" applyNumberFormat="1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4" fillId="4" borderId="10" xfId="0" quotePrefix="1" applyFont="1" applyFill="1" applyBorder="1" applyAlignment="1">
      <alignment horizontal="center" vertical="center" wrapText="1"/>
    </xf>
    <xf numFmtId="0" fontId="4" fillId="4" borderId="10" xfId="0" quotePrefix="1" applyFont="1" applyFill="1" applyBorder="1" applyAlignment="1">
      <alignment horizontal="center" vertical="center"/>
    </xf>
    <xf numFmtId="0" fontId="4" fillId="5" borderId="10" xfId="0" quotePrefix="1" applyFont="1" applyFill="1" applyBorder="1"/>
    <xf numFmtId="0" fontId="4" fillId="5" borderId="10" xfId="0" quotePrefix="1" applyFont="1" applyFill="1" applyBorder="1" applyAlignment="1">
      <alignment horizontal="center"/>
    </xf>
    <xf numFmtId="0" fontId="4" fillId="5" borderId="10" xfId="0" quotePrefix="1" applyFont="1" applyFill="1" applyBorder="1" applyAlignment="1">
      <alignment horizontal="center" vertical="center" wrapText="1"/>
    </xf>
    <xf numFmtId="0" fontId="4" fillId="5" borderId="10" xfId="0" quotePrefix="1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2" fillId="5" borderId="10" xfId="1" applyFill="1" applyBorder="1" applyAlignment="1">
      <alignment horizontal="center" vertical="center"/>
    </xf>
    <xf numFmtId="164" fontId="4" fillId="5" borderId="10" xfId="0" quotePrefix="1" applyNumberFormat="1" applyFont="1" applyFill="1" applyBorder="1" applyAlignment="1">
      <alignment horizontal="center" vertical="center"/>
    </xf>
    <xf numFmtId="8" fontId="4" fillId="5" borderId="10" xfId="0" quotePrefix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" fillId="5" borderId="30" xfId="0" quotePrefix="1" applyFont="1" applyFill="1" applyBorder="1"/>
    <xf numFmtId="0" fontId="0" fillId="5" borderId="8" xfId="0" applyFont="1" applyFill="1" applyBorder="1"/>
    <xf numFmtId="8" fontId="4" fillId="3" borderId="36" xfId="0" quotePrefix="1" applyNumberFormat="1" applyFont="1" applyFill="1" applyBorder="1" applyAlignment="1">
      <alignment horizontal="center" vertical="center"/>
    </xf>
    <xf numFmtId="0" fontId="9" fillId="4" borderId="1" xfId="1" quotePrefix="1" applyFont="1" applyFill="1" applyBorder="1" applyAlignment="1">
      <alignment horizontal="center"/>
    </xf>
    <xf numFmtId="0" fontId="4" fillId="4" borderId="1" xfId="0" quotePrefix="1" applyFont="1" applyFill="1" applyBorder="1" applyAlignment="1">
      <alignment horizontal="center" vertical="center" wrapText="1"/>
    </xf>
    <xf numFmtId="0" fontId="4" fillId="4" borderId="1" xfId="1" quotePrefix="1" applyFont="1" applyFill="1" applyBorder="1" applyAlignment="1">
      <alignment horizontal="center"/>
    </xf>
    <xf numFmtId="0" fontId="4" fillId="5" borderId="1" xfId="0" quotePrefix="1" applyFont="1" applyFill="1" applyBorder="1" applyAlignment="1">
      <alignment horizontal="center" vertical="center" wrapText="1"/>
    </xf>
    <xf numFmtId="0" fontId="9" fillId="5" borderId="1" xfId="0" quotePrefix="1" applyFont="1" applyFill="1" applyBorder="1" applyAlignment="1">
      <alignment horizontal="center"/>
    </xf>
    <xf numFmtId="0" fontId="4" fillId="4" borderId="37" xfId="0" quotePrefix="1" applyFont="1" applyFill="1" applyBorder="1" applyAlignment="1">
      <alignment horizontal="center" vertical="center" wrapText="1"/>
    </xf>
    <xf numFmtId="0" fontId="4" fillId="5" borderId="36" xfId="0" quotePrefix="1" applyFont="1" applyFill="1" applyBorder="1" applyAlignment="1">
      <alignment horizontal="center" vertical="center" wrapText="1"/>
    </xf>
    <xf numFmtId="0" fontId="4" fillId="4" borderId="38" xfId="0" quotePrefix="1" applyFont="1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3" borderId="1" xfId="0" quotePrefix="1" applyFont="1" applyFill="1" applyBorder="1"/>
    <xf numFmtId="0" fontId="8" fillId="3" borderId="0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wrapText="1"/>
    </xf>
    <xf numFmtId="0" fontId="4" fillId="3" borderId="1" xfId="0" quotePrefix="1" applyFont="1" applyFill="1" applyBorder="1" applyAlignment="1">
      <alignment horizontal="center"/>
    </xf>
    <xf numFmtId="0" fontId="4" fillId="3" borderId="12" xfId="0" quotePrefix="1" applyFont="1" applyFill="1" applyBorder="1"/>
    <xf numFmtId="0" fontId="4" fillId="3" borderId="12" xfId="0" quotePrefix="1" applyFont="1" applyFill="1" applyBorder="1" applyAlignment="1">
      <alignment horizontal="center"/>
    </xf>
    <xf numFmtId="0" fontId="4" fillId="3" borderId="18" xfId="0" quotePrefix="1" applyFont="1" applyFill="1" applyBorder="1"/>
    <xf numFmtId="0" fontId="4" fillId="3" borderId="18" xfId="0" quotePrefix="1" applyFont="1" applyFill="1" applyBorder="1" applyAlignment="1">
      <alignment horizontal="center" wrapText="1"/>
    </xf>
    <xf numFmtId="0" fontId="4" fillId="3" borderId="30" xfId="0" quotePrefix="1" applyFont="1" applyFill="1" applyBorder="1"/>
    <xf numFmtId="0" fontId="4" fillId="3" borderId="10" xfId="0" quotePrefix="1" applyFont="1" applyFill="1" applyBorder="1"/>
    <xf numFmtId="0" fontId="4" fillId="3" borderId="10" xfId="0" applyFont="1" applyFill="1" applyBorder="1" applyAlignment="1">
      <alignment horizontal="center"/>
    </xf>
    <xf numFmtId="0" fontId="4" fillId="3" borderId="10" xfId="0" quotePrefix="1" applyFont="1" applyFill="1" applyBorder="1" applyAlignment="1">
      <alignment horizontal="center" wrapText="1"/>
    </xf>
    <xf numFmtId="0" fontId="4" fillId="3" borderId="10" xfId="0" quotePrefix="1" applyFont="1" applyFill="1" applyBorder="1" applyAlignment="1">
      <alignment horizontal="center"/>
    </xf>
    <xf numFmtId="8" fontId="4" fillId="3" borderId="10" xfId="0" quotePrefix="1" applyNumberFormat="1" applyFont="1" applyFill="1" applyBorder="1" applyAlignment="1">
      <alignment horizontal="center" vertical="center"/>
    </xf>
    <xf numFmtId="0" fontId="4" fillId="3" borderId="31" xfId="0" quotePrefix="1" applyFont="1" applyFill="1" applyBorder="1"/>
    <xf numFmtId="0" fontId="9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OSFET_Leshan-Radio-LBSS138LT1G_C8490.html" TargetMode="External"/><Relationship Id="rId18" Type="http://schemas.openxmlformats.org/officeDocument/2006/relationships/hyperlink" Target="https://lcsc.com/product-detail/Chip-Resistor-Surface-Mount_YAGEO-RC0402FR-07100RL_C106232.html" TargetMode="External"/><Relationship Id="rId26" Type="http://schemas.openxmlformats.org/officeDocument/2006/relationships/hyperlink" Target="https://lcsc.com/product-detail/DC-DC-Converters_Texas-Instruments-TPS563200DDCR_C97253.html" TargetMode="External"/><Relationship Id="rId39" Type="http://schemas.openxmlformats.org/officeDocument/2006/relationships/hyperlink" Target="https://lcsc.com/product-detail/New-Arrivals_COILMX-MS0530-2R2M_C380163.html" TargetMode="External"/><Relationship Id="rId21" Type="http://schemas.openxmlformats.org/officeDocument/2006/relationships/hyperlink" Target="https://lcsc.com/product-detail/Others_YAGEO-AC0402FR-0754K9L_C227137.html" TargetMode="External"/><Relationship Id="rId34" Type="http://schemas.openxmlformats.org/officeDocument/2006/relationships/hyperlink" Target="https://lcsc.com/product-detail/Multilayer-Ceramic-Capacitors-MLCC-SMD-SMT_FH-Guangdong-Fenghua-Advanced-Tech-0805F226M250NT_C161205.html" TargetMode="External"/><Relationship Id="rId42" Type="http://schemas.openxmlformats.org/officeDocument/2006/relationships/hyperlink" Target="https://www.digikey.com/product-detail/en/phoenix-contact/1729225/277-1257-ND/260625" TargetMode="External"/><Relationship Id="rId7" Type="http://schemas.openxmlformats.org/officeDocument/2006/relationships/hyperlink" Target="https://lcsc.com/product-detail/Multilayer-Ceramic-Capacitors-MLCC-SMD-SMT_Murata-Electronics-GJM0336C1E200JB01D_C161300.html" TargetMode="External"/><Relationship Id="rId2" Type="http://schemas.openxmlformats.org/officeDocument/2006/relationships/hyperlink" Target="https://lcsc.com/product-detail/Multilayer-Ceramic-Capacitors-MLCC-SMD-SMT_SAMSUNG_CL10A475KA8NQNC_4-7uF-475-10-25V_C69335.html" TargetMode="External"/><Relationship Id="rId16" Type="http://schemas.openxmlformats.org/officeDocument/2006/relationships/hyperlink" Target="https://lcsc.com/product-detail/Chip-Resistor-Surface-Mount_330KR-3303-1_C138006.html" TargetMode="External"/><Relationship Id="rId20" Type="http://schemas.openxmlformats.org/officeDocument/2006/relationships/hyperlink" Target="https://lcsc.com/product-detail/High-Precision-Low-TCR-SMD-Resistors_1KR-1-50ppm_C136974.html" TargetMode="External"/><Relationship Id="rId29" Type="http://schemas.openxmlformats.org/officeDocument/2006/relationships/hyperlink" Target="https://lcsc.com/product-detail/_Taiyo-Yuden-LDK105CBJ106MVLF_C386033.html" TargetMode="External"/><Relationship Id="rId41" Type="http://schemas.openxmlformats.org/officeDocument/2006/relationships/hyperlink" Target="https://lcsc.com/product-detail/SMD-Crystal-Resonators_Suzhou-Liming-Elec-49MD-8-000-20-20-20-A_C240959.html" TargetMode="External"/><Relationship Id="rId1" Type="http://schemas.openxmlformats.org/officeDocument/2006/relationships/hyperlink" Target="https://lcsc.com/product-detail/Multilayer-Ceramic-Capacitors-MLCC-SMD-SMT_Murata-Electronics-GRM31CR61E476ME44L_C403725.html" TargetMode="External"/><Relationship Id="rId6" Type="http://schemas.openxmlformats.org/officeDocument/2006/relationships/hyperlink" Target="https://lcsc.com/product-detail/Others_YAGEO-CC0402KRX7R8BB103_C327025.html" TargetMode="External"/><Relationship Id="rId11" Type="http://schemas.openxmlformats.org/officeDocument/2006/relationships/hyperlink" Target="https://lcsc.com/product-detail/Ferrite-Beads_TDK_MMZ1005F121ET000_TDK-MMZ1005F121ET000_C89458.html" TargetMode="External"/><Relationship Id="rId24" Type="http://schemas.openxmlformats.org/officeDocument/2006/relationships/hyperlink" Target="https://lcsc.com/product-detail/Others_Omron-Electronics_B3U-1000P_Omron-Electronics-B3U-1000P_C231329.html" TargetMode="External"/><Relationship Id="rId32" Type="http://schemas.openxmlformats.org/officeDocument/2006/relationships/hyperlink" Target="https://lcsc.com/product-detail/Others_KOA-Speer-Elec-RK73H1ETTP27R0F_C316853.html" TargetMode="External"/><Relationship Id="rId37" Type="http://schemas.openxmlformats.org/officeDocument/2006/relationships/hyperlink" Target="https://lcsc.com/product-detail/Multilayer-Ceramic-Capacitors-MLCC-SMD-SMT_YAGEO-CC0201KRX5R7BB473_C505465.html" TargetMode="External"/><Relationship Id="rId40" Type="http://schemas.openxmlformats.org/officeDocument/2006/relationships/hyperlink" Target="https://lcsc.com/product-detail/Others_Littelfuse_SP3014-02UTG_Littelfuse-SP3014-02UTG_C207282.html" TargetMode="External"/><Relationship Id="rId5" Type="http://schemas.openxmlformats.org/officeDocument/2006/relationships/hyperlink" Target="https://lcsc.com/product-detail/Multilayer-Ceramic-Capacitors-MLCC-SMD-SMT_muRata_GRM155R61E105KA12D_1uF-105-10-25V_C77009.html" TargetMode="External"/><Relationship Id="rId15" Type="http://schemas.openxmlformats.org/officeDocument/2006/relationships/hyperlink" Target="https://lcsc.com/product-detail/Chip-Resistor-Surface-Mount_10KR-1002-1_C60490.html" TargetMode="External"/><Relationship Id="rId23" Type="http://schemas.openxmlformats.org/officeDocument/2006/relationships/hyperlink" Target="https://lcsc.com/product-detail/Chip-Resistor-Surface-Mount_330R-330R-1_C105875.html" TargetMode="External"/><Relationship Id="rId28" Type="http://schemas.openxmlformats.org/officeDocument/2006/relationships/hyperlink" Target="https://lcsc.com/product-detail/Chip-Resistor-Surface-Mount_UNI-ROYAL-Uniroyal-Elec-0402WGF3322TCE_C122548.html" TargetMode="External"/><Relationship Id="rId36" Type="http://schemas.openxmlformats.org/officeDocument/2006/relationships/hyperlink" Target="https://lcsc.com/product-detail/Solid-Polymer-Electrolytic-Capacitor_PANASONIC-16SVPF180M_C136277.html" TargetMode="External"/><Relationship Id="rId10" Type="http://schemas.openxmlformats.org/officeDocument/2006/relationships/hyperlink" Target="https://lcsc.com/product-detail/Surface-Mount-Fuses_BOURNS_MF-MSMF250-16X-2_BOURNS-MF-MSMF250-16X-2_C210838.html" TargetMode="External"/><Relationship Id="rId19" Type="http://schemas.openxmlformats.org/officeDocument/2006/relationships/hyperlink" Target="https://lcsc.com/product-detail/Chip-Resistor-Surface-Mount_YAGEO-RC0402FR-07270KL_C163475.html" TargetMode="External"/><Relationship Id="rId31" Type="http://schemas.openxmlformats.org/officeDocument/2006/relationships/hyperlink" Target="https://lcsc.com/product-detail/ST-Microelectronics_STMicroelectronics_STM32F070CBT6_STM32F070CBT6_C74909.html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Multilayer-Ceramic-Capacitors-MLCC-SMD-SMT_Taiyo-Yuden-TMK107BBJ106MA-T_C386081.html" TargetMode="External"/><Relationship Id="rId9" Type="http://schemas.openxmlformats.org/officeDocument/2006/relationships/hyperlink" Target="https://lcsc.com/product-detail/Light-Emitting-Diodes-LED_SMD-green_C125094.html" TargetMode="External"/><Relationship Id="rId14" Type="http://schemas.openxmlformats.org/officeDocument/2006/relationships/hyperlink" Target="https://lcsc.com/product-detail/MOSFET_Nexperia-PMV65XP-215_C75561.html" TargetMode="External"/><Relationship Id="rId22" Type="http://schemas.openxmlformats.org/officeDocument/2006/relationships/hyperlink" Target="https://lcsc.com/product-detail/Chip-Resistor-Surface-Mount_20KR-203-5_C137902.html" TargetMode="External"/><Relationship Id="rId27" Type="http://schemas.openxmlformats.org/officeDocument/2006/relationships/hyperlink" Target="https://lcsc.com/product-detail/USB-Connectors_Amphenol-ICC-10118192-0001LF_C132564.html" TargetMode="External"/><Relationship Id="rId30" Type="http://schemas.openxmlformats.org/officeDocument/2006/relationships/hyperlink" Target="https://lcsc.com/product-detail/Multilayer-Ceramic-Capacitors-MLCC-SMD-SMT_Walsin-Tech-Corp-0402F104Z160_C123453.html" TargetMode="External"/><Relationship Id="rId35" Type="http://schemas.openxmlformats.org/officeDocument/2006/relationships/hyperlink" Target="https://lcsc.com/product-detail/Multilayer-Ceramic-Capacitors-MLCC-SMD-SMT_SAMSUNG_CL05A474KA5NNN_470nF-474-10-25V_C92361.html" TargetMode="External"/><Relationship Id="rId43" Type="http://schemas.openxmlformats.org/officeDocument/2006/relationships/hyperlink" Target="https://www.digikey.com/products/en?keywords=0022232111" TargetMode="External"/><Relationship Id="rId8" Type="http://schemas.openxmlformats.org/officeDocument/2006/relationships/hyperlink" Target="https://lcsc.com/product-detail/Schottky-Barrier-Diodes-SBD_Nexperia-PMEG6010ER-115_C456121.html" TargetMode="External"/><Relationship Id="rId3" Type="http://schemas.openxmlformats.org/officeDocument/2006/relationships/hyperlink" Target="https://lcsc.com/product-detail/Multilayer-Ceramic-Capacitors-MLCC-SMD-SMT_MuRata_GCM1555C1H470JA16D_47pF-470-5-50V-Car-level_C126511.html" TargetMode="External"/><Relationship Id="rId12" Type="http://schemas.openxmlformats.org/officeDocument/2006/relationships/hyperlink" Target="https://lcsc.com/product-detail/Inductors-SMD_EATON-HCM0703-3R3-R_C427310.html" TargetMode="External"/><Relationship Id="rId17" Type="http://schemas.openxmlformats.org/officeDocument/2006/relationships/hyperlink" Target="https://lcsc.com/product-detail/Chip-Resistor-Surface-Mount_YAGEO-RC0402FR-07220KL_C138030.html" TargetMode="External"/><Relationship Id="rId25" Type="http://schemas.openxmlformats.org/officeDocument/2006/relationships/hyperlink" Target="https://lcsc.com/product-detail/Toggle-Switches_C-K_OS102011MA1QN1C_C-K-OS102011MA1QN1C_C221828.html" TargetMode="External"/><Relationship Id="rId33" Type="http://schemas.openxmlformats.org/officeDocument/2006/relationships/hyperlink" Target="https://lcsc.com/product-detail/Chip-Resistor-Surface-Mount_FH-Guangdong-Fenghua-Advanced-Tech-RC-02W4701FT_C304616.html" TargetMode="External"/><Relationship Id="rId38" Type="http://schemas.openxmlformats.org/officeDocument/2006/relationships/hyperlink" Target="https://lcsc.com/product-detail/Multilayer-Ceramic-Capacitors-MLCC-SMD-SMT_muRata_GRM21BR61E226ME44L_22uF-226-20-25V_C8681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tabSelected="1" topLeftCell="F1" zoomScale="85" zoomScaleNormal="85" workbookViewId="0">
      <selection activeCell="P20" sqref="P20"/>
    </sheetView>
  </sheetViews>
  <sheetFormatPr defaultRowHeight="15" x14ac:dyDescent="0.25"/>
  <cols>
    <col min="1" max="1" width="7" customWidth="1"/>
    <col min="2" max="2" width="17.7109375" customWidth="1"/>
    <col min="3" max="3" width="41" style="18" customWidth="1"/>
    <col min="4" max="4" width="43.140625" style="1" customWidth="1"/>
    <col min="5" max="5" width="20.5703125" style="4" bestFit="1" customWidth="1"/>
    <col min="6" max="6" width="28.42578125" style="6" bestFit="1" customWidth="1"/>
    <col min="7" max="7" width="25.85546875" style="6" bestFit="1" customWidth="1"/>
    <col min="8" max="8" width="8.42578125" style="6" bestFit="1" customWidth="1"/>
    <col min="9" max="9" width="19" style="6" bestFit="1" customWidth="1"/>
    <col min="10" max="10" width="9.7109375" style="6" bestFit="1" customWidth="1"/>
    <col min="11" max="11" width="15.42578125" style="3" bestFit="1" customWidth="1"/>
    <col min="12" max="12" width="13.42578125" style="3" customWidth="1"/>
    <col min="13" max="13" width="8.42578125" style="3" customWidth="1"/>
    <col min="14" max="14" width="11.140625" style="1" customWidth="1"/>
    <col min="15" max="15" width="12" style="6" customWidth="1"/>
    <col min="16" max="16" width="39.85546875" style="3" bestFit="1" customWidth="1"/>
  </cols>
  <sheetData>
    <row r="1" spans="1:16" ht="16.5" thickBot="1" x14ac:dyDescent="0.3">
      <c r="A1" s="147" t="s">
        <v>72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9"/>
    </row>
    <row r="2" spans="1:16" ht="16.5" thickBot="1" x14ac:dyDescent="0.3">
      <c r="A2" s="5" t="s">
        <v>11</v>
      </c>
      <c r="B2" s="12" t="s">
        <v>12</v>
      </c>
      <c r="C2" s="17" t="s">
        <v>0</v>
      </c>
      <c r="D2" s="12" t="s">
        <v>1</v>
      </c>
      <c r="E2" s="12" t="s">
        <v>13</v>
      </c>
      <c r="F2" s="12" t="s">
        <v>3</v>
      </c>
      <c r="G2" s="12" t="s">
        <v>2</v>
      </c>
      <c r="H2" s="12" t="s">
        <v>5</v>
      </c>
      <c r="I2" s="12" t="s">
        <v>173</v>
      </c>
      <c r="J2" s="12" t="s">
        <v>4</v>
      </c>
      <c r="K2" s="12" t="s">
        <v>14</v>
      </c>
      <c r="L2" s="12" t="s">
        <v>23</v>
      </c>
      <c r="M2" s="14" t="s">
        <v>15</v>
      </c>
      <c r="N2" s="8" t="s">
        <v>21</v>
      </c>
      <c r="O2" s="8" t="s">
        <v>22</v>
      </c>
      <c r="P2" s="15" t="s">
        <v>16</v>
      </c>
    </row>
    <row r="3" spans="1:16" s="2" customFormat="1" ht="16.5" thickBot="1" x14ac:dyDescent="0.3">
      <c r="A3" s="11">
        <v>1</v>
      </c>
      <c r="B3" s="150" t="s">
        <v>17</v>
      </c>
      <c r="C3" s="87" t="s">
        <v>48</v>
      </c>
      <c r="D3" s="88" t="s">
        <v>193</v>
      </c>
      <c r="E3" s="89" t="s">
        <v>29</v>
      </c>
      <c r="F3" s="89" t="s">
        <v>236</v>
      </c>
      <c r="G3" s="89" t="s">
        <v>41</v>
      </c>
      <c r="H3" s="89" t="s">
        <v>10</v>
      </c>
      <c r="I3" s="89" t="s">
        <v>207</v>
      </c>
      <c r="J3" s="90">
        <v>4</v>
      </c>
      <c r="K3" s="91">
        <f>J3*80</f>
        <v>320</v>
      </c>
      <c r="L3" s="91">
        <v>350</v>
      </c>
      <c r="M3" s="92" t="s">
        <v>174</v>
      </c>
      <c r="N3" s="93">
        <v>1.6511000000000001E-2</v>
      </c>
      <c r="O3" s="94">
        <f>N3*L3</f>
        <v>5.7788500000000003</v>
      </c>
      <c r="P3" s="95" t="s">
        <v>237</v>
      </c>
    </row>
    <row r="4" spans="1:16" s="2" customFormat="1" ht="26.25" thickBot="1" x14ac:dyDescent="0.25">
      <c r="A4" s="10">
        <v>2</v>
      </c>
      <c r="B4" s="151"/>
      <c r="C4" s="96" t="s">
        <v>238</v>
      </c>
      <c r="D4" s="97" t="s">
        <v>197</v>
      </c>
      <c r="E4" s="98" t="s">
        <v>29</v>
      </c>
      <c r="F4" s="98" t="s">
        <v>239</v>
      </c>
      <c r="G4" s="98" t="s">
        <v>240</v>
      </c>
      <c r="H4" s="98" t="s">
        <v>6</v>
      </c>
      <c r="I4" s="98" t="s">
        <v>223</v>
      </c>
      <c r="J4" s="99">
        <v>14</v>
      </c>
      <c r="K4" s="100">
        <f>J4*80</f>
        <v>1120</v>
      </c>
      <c r="L4" s="100">
        <v>1150</v>
      </c>
      <c r="M4" s="101" t="s">
        <v>174</v>
      </c>
      <c r="N4" s="102">
        <v>5.2529999999999999E-3</v>
      </c>
      <c r="O4" s="103">
        <f>N4*L4</f>
        <v>6.0409499999999996</v>
      </c>
      <c r="P4" s="104" t="s">
        <v>237</v>
      </c>
    </row>
    <row r="5" spans="1:16" s="2" customFormat="1" ht="16.5" thickBot="1" x14ac:dyDescent="0.25">
      <c r="A5" s="10">
        <v>3</v>
      </c>
      <c r="B5" s="151"/>
      <c r="C5" s="182" t="s">
        <v>49</v>
      </c>
      <c r="D5" s="168" t="s">
        <v>53</v>
      </c>
      <c r="E5" s="22" t="s">
        <v>74</v>
      </c>
      <c r="F5" s="22" t="s">
        <v>241</v>
      </c>
      <c r="G5" s="22" t="s">
        <v>242</v>
      </c>
      <c r="H5" s="22" t="s">
        <v>63</v>
      </c>
      <c r="I5" s="22" t="s">
        <v>243</v>
      </c>
      <c r="J5" s="183">
        <v>1</v>
      </c>
      <c r="K5" s="33">
        <f t="shared" ref="K5:K47" si="0">J5*80</f>
        <v>80</v>
      </c>
      <c r="L5" s="33">
        <v>82</v>
      </c>
      <c r="M5" s="9" t="s">
        <v>174</v>
      </c>
      <c r="N5" s="24">
        <v>0.28000000000000003</v>
      </c>
      <c r="O5" s="25">
        <f t="shared" ref="O5:O8" si="1">N5*L5</f>
        <v>22.96</v>
      </c>
      <c r="P5" s="40"/>
    </row>
    <row r="6" spans="1:16" s="2" customFormat="1" ht="16.5" thickBot="1" x14ac:dyDescent="0.25">
      <c r="A6" s="10">
        <v>4</v>
      </c>
      <c r="B6" s="151"/>
      <c r="C6" s="49" t="s">
        <v>28</v>
      </c>
      <c r="D6" s="26" t="s">
        <v>194</v>
      </c>
      <c r="E6" s="27" t="s">
        <v>36</v>
      </c>
      <c r="F6" s="27" t="s">
        <v>58</v>
      </c>
      <c r="G6" s="27" t="s">
        <v>31</v>
      </c>
      <c r="H6" s="27" t="s">
        <v>38</v>
      </c>
      <c r="I6" s="27" t="s">
        <v>221</v>
      </c>
      <c r="J6" s="34">
        <v>2</v>
      </c>
      <c r="K6" s="33">
        <f t="shared" si="0"/>
        <v>160</v>
      </c>
      <c r="L6" s="33">
        <v>165</v>
      </c>
      <c r="M6" s="9" t="s">
        <v>174</v>
      </c>
      <c r="N6" s="24">
        <v>5.1119999999999999E-2</v>
      </c>
      <c r="O6" s="25">
        <f t="shared" si="1"/>
        <v>8.4347999999999992</v>
      </c>
      <c r="P6" s="40"/>
    </row>
    <row r="7" spans="1:16" s="2" customFormat="1" ht="16.5" thickBot="1" x14ac:dyDescent="0.25">
      <c r="A7" s="10">
        <v>5</v>
      </c>
      <c r="B7" s="151"/>
      <c r="C7" s="109" t="s">
        <v>246</v>
      </c>
      <c r="D7" s="110" t="s">
        <v>54</v>
      </c>
      <c r="E7" s="111" t="s">
        <v>29</v>
      </c>
      <c r="F7" s="111" t="s">
        <v>244</v>
      </c>
      <c r="G7" s="111" t="s">
        <v>35</v>
      </c>
      <c r="H7" s="111" t="s">
        <v>245</v>
      </c>
      <c r="I7" s="98" t="s">
        <v>222</v>
      </c>
      <c r="J7" s="112">
        <v>1</v>
      </c>
      <c r="K7" s="100">
        <f t="shared" si="0"/>
        <v>80</v>
      </c>
      <c r="L7" s="100">
        <v>100</v>
      </c>
      <c r="M7" s="101" t="s">
        <v>174</v>
      </c>
      <c r="N7" s="102">
        <v>1.7350000000000001E-2</v>
      </c>
      <c r="O7" s="103">
        <f t="shared" si="1"/>
        <v>1.7350000000000001</v>
      </c>
      <c r="P7" s="104" t="s">
        <v>237</v>
      </c>
    </row>
    <row r="8" spans="1:16" s="2" customFormat="1" ht="16.5" thickBot="1" x14ac:dyDescent="0.25">
      <c r="A8" s="10">
        <v>6</v>
      </c>
      <c r="B8" s="151"/>
      <c r="C8" s="109" t="s">
        <v>247</v>
      </c>
      <c r="D8" s="110" t="s">
        <v>55</v>
      </c>
      <c r="E8" s="111" t="s">
        <v>73</v>
      </c>
      <c r="F8" s="111" t="s">
        <v>248</v>
      </c>
      <c r="G8" s="111" t="s">
        <v>7</v>
      </c>
      <c r="H8" s="111" t="s">
        <v>249</v>
      </c>
      <c r="I8" s="111" t="s">
        <v>250</v>
      </c>
      <c r="J8" s="112">
        <v>1</v>
      </c>
      <c r="K8" s="100">
        <f t="shared" si="0"/>
        <v>80</v>
      </c>
      <c r="L8" s="100">
        <v>100</v>
      </c>
      <c r="M8" s="101" t="s">
        <v>174</v>
      </c>
      <c r="N8" s="102">
        <v>3.506E-3</v>
      </c>
      <c r="O8" s="103">
        <f t="shared" si="1"/>
        <v>0.35060000000000002</v>
      </c>
      <c r="P8" s="104" t="s">
        <v>237</v>
      </c>
    </row>
    <row r="9" spans="1:16" s="2" customFormat="1" ht="16.5" thickBot="1" x14ac:dyDescent="0.25">
      <c r="A9" s="10">
        <v>7</v>
      </c>
      <c r="B9" s="151"/>
      <c r="C9" s="49" t="s">
        <v>50</v>
      </c>
      <c r="D9" s="26" t="s">
        <v>195</v>
      </c>
      <c r="E9" s="27" t="s">
        <v>62</v>
      </c>
      <c r="F9" s="27" t="s">
        <v>59</v>
      </c>
      <c r="G9" s="27" t="s">
        <v>31</v>
      </c>
      <c r="H9" s="27" t="s">
        <v>64</v>
      </c>
      <c r="I9" s="27" t="s">
        <v>175</v>
      </c>
      <c r="J9" s="34">
        <v>2</v>
      </c>
      <c r="K9" s="33">
        <f t="shared" si="0"/>
        <v>160</v>
      </c>
      <c r="L9" s="33">
        <v>165</v>
      </c>
      <c r="M9" s="9" t="s">
        <v>174</v>
      </c>
      <c r="N9" s="24">
        <v>0.235455</v>
      </c>
      <c r="O9" s="25">
        <f t="shared" ref="O9:O14" si="2">N9*L9</f>
        <v>38.850074999999997</v>
      </c>
      <c r="P9" s="40"/>
    </row>
    <row r="10" spans="1:16" s="2" customFormat="1" ht="16.5" thickBot="1" x14ac:dyDescent="0.25">
      <c r="A10" s="10">
        <v>8</v>
      </c>
      <c r="B10" s="151"/>
      <c r="C10" s="49" t="s">
        <v>27</v>
      </c>
      <c r="D10" s="26" t="s">
        <v>196</v>
      </c>
      <c r="E10" s="27" t="s">
        <v>19</v>
      </c>
      <c r="F10" s="27" t="s">
        <v>34</v>
      </c>
      <c r="G10" s="27" t="s">
        <v>35</v>
      </c>
      <c r="H10" s="27" t="s">
        <v>66</v>
      </c>
      <c r="I10" s="27" t="s">
        <v>176</v>
      </c>
      <c r="J10" s="34">
        <v>2</v>
      </c>
      <c r="K10" s="33">
        <f t="shared" si="0"/>
        <v>160</v>
      </c>
      <c r="L10" s="33">
        <v>180</v>
      </c>
      <c r="M10" s="9" t="s">
        <v>174</v>
      </c>
      <c r="N10" s="24">
        <v>2.6991999999999999E-2</v>
      </c>
      <c r="O10" s="25">
        <f t="shared" si="2"/>
        <v>4.8585599999999998</v>
      </c>
      <c r="P10" s="40"/>
    </row>
    <row r="11" spans="1:16" s="2" customFormat="1" ht="16.5" thickBot="1" x14ac:dyDescent="0.25">
      <c r="A11" s="10">
        <v>10</v>
      </c>
      <c r="B11" s="151"/>
      <c r="C11" s="49" t="s">
        <v>51</v>
      </c>
      <c r="D11" s="26" t="s">
        <v>209</v>
      </c>
      <c r="E11" s="27" t="s">
        <v>29</v>
      </c>
      <c r="F11" s="28" t="s">
        <v>60</v>
      </c>
      <c r="G11" s="27" t="s">
        <v>31</v>
      </c>
      <c r="H11" s="27" t="s">
        <v>65</v>
      </c>
      <c r="I11" s="32" t="s">
        <v>177</v>
      </c>
      <c r="J11" s="34">
        <v>2</v>
      </c>
      <c r="K11" s="33">
        <f t="shared" si="0"/>
        <v>160</v>
      </c>
      <c r="L11" s="33">
        <v>200</v>
      </c>
      <c r="M11" s="9" t="s">
        <v>174</v>
      </c>
      <c r="N11" s="24">
        <v>6.986E-3</v>
      </c>
      <c r="O11" s="25">
        <f t="shared" si="2"/>
        <v>1.3972</v>
      </c>
      <c r="P11" s="40"/>
    </row>
    <row r="12" spans="1:16" s="2" customFormat="1" ht="16.5" thickBot="1" x14ac:dyDescent="0.25">
      <c r="A12" s="10">
        <v>11</v>
      </c>
      <c r="B12" s="151"/>
      <c r="C12" s="49" t="s">
        <v>52</v>
      </c>
      <c r="D12" s="26" t="s">
        <v>208</v>
      </c>
      <c r="E12" s="27" t="s">
        <v>19</v>
      </c>
      <c r="F12" s="27" t="s">
        <v>61</v>
      </c>
      <c r="G12" s="27" t="s">
        <v>41</v>
      </c>
      <c r="H12" s="27" t="s">
        <v>10</v>
      </c>
      <c r="I12" s="32" t="s">
        <v>178</v>
      </c>
      <c r="J12" s="34">
        <v>2</v>
      </c>
      <c r="K12" s="33">
        <f t="shared" si="0"/>
        <v>160</v>
      </c>
      <c r="L12" s="33">
        <v>170</v>
      </c>
      <c r="M12" s="9" t="s">
        <v>174</v>
      </c>
      <c r="N12" s="24">
        <v>5.3427000000000002E-2</v>
      </c>
      <c r="O12" s="25">
        <f t="shared" si="2"/>
        <v>9.0825899999999997</v>
      </c>
      <c r="P12" s="40"/>
    </row>
    <row r="13" spans="1:16" s="2" customFormat="1" ht="16.5" thickBot="1" x14ac:dyDescent="0.25">
      <c r="A13" s="10">
        <v>12</v>
      </c>
      <c r="B13" s="151"/>
      <c r="C13" s="109" t="s">
        <v>28</v>
      </c>
      <c r="D13" s="110" t="s">
        <v>210</v>
      </c>
      <c r="E13" s="111" t="s">
        <v>36</v>
      </c>
      <c r="F13" s="111" t="s">
        <v>251</v>
      </c>
      <c r="G13" s="111" t="s">
        <v>31</v>
      </c>
      <c r="H13" s="111" t="s">
        <v>38</v>
      </c>
      <c r="I13" s="111" t="s">
        <v>252</v>
      </c>
      <c r="J13" s="112">
        <v>2</v>
      </c>
      <c r="K13" s="100">
        <f t="shared" si="0"/>
        <v>160</v>
      </c>
      <c r="L13" s="100">
        <v>165</v>
      </c>
      <c r="M13" s="101" t="s">
        <v>174</v>
      </c>
      <c r="N13" s="102">
        <v>6.4964999999999995E-2</v>
      </c>
      <c r="O13" s="103">
        <f t="shared" si="2"/>
        <v>10.719225</v>
      </c>
      <c r="P13" s="104" t="s">
        <v>237</v>
      </c>
    </row>
    <row r="14" spans="1:16" s="2" customFormat="1" ht="16.5" thickBot="1" x14ac:dyDescent="0.25">
      <c r="A14" s="10">
        <v>13</v>
      </c>
      <c r="B14" s="151"/>
      <c r="C14" s="49" t="s">
        <v>24</v>
      </c>
      <c r="D14" s="26" t="s">
        <v>56</v>
      </c>
      <c r="E14" s="27" t="s">
        <v>29</v>
      </c>
      <c r="F14" s="27" t="s">
        <v>30</v>
      </c>
      <c r="G14" s="27" t="s">
        <v>31</v>
      </c>
      <c r="H14" s="27" t="s">
        <v>8</v>
      </c>
      <c r="I14" s="32" t="s">
        <v>179</v>
      </c>
      <c r="J14" s="34">
        <v>1</v>
      </c>
      <c r="K14" s="33">
        <f t="shared" si="0"/>
        <v>80</v>
      </c>
      <c r="L14" s="33">
        <v>100</v>
      </c>
      <c r="M14" s="9" t="s">
        <v>174</v>
      </c>
      <c r="N14" s="24">
        <v>6.6579999999999999E-3</v>
      </c>
      <c r="O14" s="25">
        <f t="shared" si="2"/>
        <v>0.66579999999999995</v>
      </c>
      <c r="P14" s="40"/>
    </row>
    <row r="15" spans="1:16" s="2" customFormat="1" ht="16.5" thickBot="1" x14ac:dyDescent="0.25">
      <c r="A15" s="10">
        <v>14</v>
      </c>
      <c r="B15" s="151"/>
      <c r="C15" s="49" t="s">
        <v>25</v>
      </c>
      <c r="D15" s="26" t="s">
        <v>57</v>
      </c>
      <c r="E15" s="27" t="s">
        <v>29</v>
      </c>
      <c r="F15" s="27" t="s">
        <v>32</v>
      </c>
      <c r="G15" s="27" t="s">
        <v>7</v>
      </c>
      <c r="H15" s="27" t="s">
        <v>9</v>
      </c>
      <c r="I15" s="32" t="s">
        <v>180</v>
      </c>
      <c r="J15" s="34">
        <v>1</v>
      </c>
      <c r="K15" s="33">
        <f t="shared" si="0"/>
        <v>80</v>
      </c>
      <c r="L15" s="33">
        <v>100</v>
      </c>
      <c r="M15" s="7" t="s">
        <v>174</v>
      </c>
      <c r="N15" s="24">
        <v>2.513E-3</v>
      </c>
      <c r="O15" s="25">
        <f t="shared" ref="O15" si="3">N15*L15</f>
        <v>0.25130000000000002</v>
      </c>
      <c r="P15" s="40"/>
    </row>
    <row r="16" spans="1:16" s="2" customFormat="1" ht="16.5" thickBot="1" x14ac:dyDescent="0.25">
      <c r="A16" s="10">
        <v>15</v>
      </c>
      <c r="B16" s="152"/>
      <c r="C16" s="50" t="s">
        <v>26</v>
      </c>
      <c r="D16" s="41" t="s">
        <v>211</v>
      </c>
      <c r="E16" s="42" t="s">
        <v>73</v>
      </c>
      <c r="F16" s="42" t="s">
        <v>33</v>
      </c>
      <c r="G16" s="42" t="s">
        <v>31</v>
      </c>
      <c r="H16" s="42" t="s">
        <v>37</v>
      </c>
      <c r="I16" s="43" t="s">
        <v>181</v>
      </c>
      <c r="J16" s="44">
        <v>2</v>
      </c>
      <c r="K16" s="45">
        <f t="shared" si="0"/>
        <v>160</v>
      </c>
      <c r="L16" s="45">
        <v>180</v>
      </c>
      <c r="M16" s="46" t="s">
        <v>174</v>
      </c>
      <c r="N16" s="47">
        <v>1.3273E-2</v>
      </c>
      <c r="O16" s="25">
        <f t="shared" ref="O16:O22" si="4">N16*L16</f>
        <v>2.3891399999999998</v>
      </c>
      <c r="P16" s="80"/>
    </row>
    <row r="17" spans="1:16" s="2" customFormat="1" ht="16.5" thickBot="1" x14ac:dyDescent="0.25">
      <c r="A17" s="10">
        <v>16</v>
      </c>
      <c r="B17" s="76" t="s">
        <v>39</v>
      </c>
      <c r="C17" s="113" t="s">
        <v>253</v>
      </c>
      <c r="D17" s="114" t="s">
        <v>75</v>
      </c>
      <c r="E17" s="115" t="s">
        <v>77</v>
      </c>
      <c r="F17" s="116" t="s">
        <v>254</v>
      </c>
      <c r="G17" s="116" t="s">
        <v>76</v>
      </c>
      <c r="H17" s="117" t="s">
        <v>203</v>
      </c>
      <c r="I17" s="115" t="s">
        <v>255</v>
      </c>
      <c r="J17" s="115">
        <v>2</v>
      </c>
      <c r="K17" s="118">
        <f t="shared" si="0"/>
        <v>160</v>
      </c>
      <c r="L17" s="118">
        <v>165</v>
      </c>
      <c r="M17" s="119" t="s">
        <v>174</v>
      </c>
      <c r="N17" s="120">
        <v>0.11214300000000001</v>
      </c>
      <c r="O17" s="121">
        <f t="shared" si="4"/>
        <v>18.503595000000001</v>
      </c>
      <c r="P17" s="122" t="s">
        <v>237</v>
      </c>
    </row>
    <row r="18" spans="1:16" s="2" customFormat="1" ht="39" thickBot="1" x14ac:dyDescent="0.25">
      <c r="A18" s="10">
        <v>17</v>
      </c>
      <c r="B18" s="74" t="s">
        <v>18</v>
      </c>
      <c r="C18" s="73" t="s">
        <v>67</v>
      </c>
      <c r="D18" s="62" t="s">
        <v>198</v>
      </c>
      <c r="E18" s="63" t="s">
        <v>82</v>
      </c>
      <c r="F18" s="55" t="s">
        <v>68</v>
      </c>
      <c r="G18" s="55" t="s">
        <v>83</v>
      </c>
      <c r="H18" s="54" t="s">
        <v>203</v>
      </c>
      <c r="I18" s="55" t="s">
        <v>182</v>
      </c>
      <c r="J18" s="52">
        <v>22</v>
      </c>
      <c r="K18" s="56">
        <f t="shared" si="0"/>
        <v>1760</v>
      </c>
      <c r="L18" s="56">
        <v>1780</v>
      </c>
      <c r="M18" s="57" t="s">
        <v>174</v>
      </c>
      <c r="N18" s="58">
        <v>1.2704E-2</v>
      </c>
      <c r="O18" s="59">
        <f t="shared" si="4"/>
        <v>22.613119999999999</v>
      </c>
      <c r="P18" s="60"/>
    </row>
    <row r="19" spans="1:16" s="2" customFormat="1" ht="16.5" thickBot="1" x14ac:dyDescent="0.25">
      <c r="A19" s="10">
        <v>18</v>
      </c>
      <c r="B19" s="74" t="s">
        <v>84</v>
      </c>
      <c r="C19" s="75" t="s">
        <v>78</v>
      </c>
      <c r="D19" s="51" t="s">
        <v>79</v>
      </c>
      <c r="E19" s="64" t="s">
        <v>229</v>
      </c>
      <c r="F19" s="53" t="s">
        <v>80</v>
      </c>
      <c r="G19" s="53" t="s">
        <v>81</v>
      </c>
      <c r="H19" s="54" t="s">
        <v>203</v>
      </c>
      <c r="I19" s="55" t="s">
        <v>183</v>
      </c>
      <c r="J19" s="52">
        <v>1</v>
      </c>
      <c r="K19" s="56">
        <f t="shared" si="0"/>
        <v>80</v>
      </c>
      <c r="L19" s="56">
        <v>85</v>
      </c>
      <c r="M19" s="57" t="s">
        <v>174</v>
      </c>
      <c r="N19" s="58">
        <v>0.146205</v>
      </c>
      <c r="O19" s="59">
        <f t="shared" si="4"/>
        <v>12.427424999999999</v>
      </c>
      <c r="P19" s="60"/>
    </row>
    <row r="20" spans="1:16" s="2" customFormat="1" ht="16.5" thickBot="1" x14ac:dyDescent="0.25">
      <c r="A20" s="31">
        <v>19</v>
      </c>
      <c r="B20" s="150" t="s">
        <v>40</v>
      </c>
      <c r="C20" s="176" t="s">
        <v>260</v>
      </c>
      <c r="D20" s="177" t="s">
        <v>89</v>
      </c>
      <c r="E20" s="178" t="s">
        <v>228</v>
      </c>
      <c r="F20" s="179" t="s">
        <v>261</v>
      </c>
      <c r="G20" s="180" t="s">
        <v>256</v>
      </c>
      <c r="H20" s="65" t="s">
        <v>203</v>
      </c>
      <c r="I20" s="67" t="s">
        <v>262</v>
      </c>
      <c r="J20" s="67">
        <v>1</v>
      </c>
      <c r="K20" s="33">
        <f t="shared" si="0"/>
        <v>80</v>
      </c>
      <c r="L20" s="38">
        <v>85</v>
      </c>
      <c r="M20" s="68" t="s">
        <v>174</v>
      </c>
      <c r="N20" s="39">
        <v>0.159027</v>
      </c>
      <c r="O20" s="181">
        <f t="shared" si="4"/>
        <v>13.517295000000001</v>
      </c>
      <c r="P20" s="77"/>
    </row>
    <row r="21" spans="1:16" s="2" customFormat="1" ht="16.5" thickBot="1" x14ac:dyDescent="0.25">
      <c r="A21" s="10">
        <v>20</v>
      </c>
      <c r="B21" s="151"/>
      <c r="C21" s="49" t="s">
        <v>85</v>
      </c>
      <c r="D21" s="26" t="s">
        <v>86</v>
      </c>
      <c r="E21" s="29" t="s">
        <v>257</v>
      </c>
      <c r="F21" s="27" t="s">
        <v>87</v>
      </c>
      <c r="G21" s="27" t="s">
        <v>88</v>
      </c>
      <c r="H21" s="23" t="s">
        <v>203</v>
      </c>
      <c r="I21" s="32" t="s">
        <v>184</v>
      </c>
      <c r="J21" s="22">
        <v>1</v>
      </c>
      <c r="K21" s="33">
        <f t="shared" si="0"/>
        <v>80</v>
      </c>
      <c r="L21" s="33">
        <v>100</v>
      </c>
      <c r="M21" s="9" t="s">
        <v>174</v>
      </c>
      <c r="N21" s="24">
        <v>1.6983999999999999E-2</v>
      </c>
      <c r="O21" s="25">
        <f t="shared" si="4"/>
        <v>1.6983999999999999</v>
      </c>
      <c r="P21" s="40"/>
    </row>
    <row r="22" spans="1:16" s="2" customFormat="1" ht="16.5" thickBot="1" x14ac:dyDescent="0.25">
      <c r="A22" s="10">
        <v>21</v>
      </c>
      <c r="B22" s="152"/>
      <c r="C22" s="50" t="s">
        <v>69</v>
      </c>
      <c r="D22" s="41" t="s">
        <v>70</v>
      </c>
      <c r="E22" s="69" t="s">
        <v>228</v>
      </c>
      <c r="F22" s="42" t="s">
        <v>71</v>
      </c>
      <c r="G22" s="42" t="s">
        <v>90</v>
      </c>
      <c r="H22" s="70" t="s">
        <v>203</v>
      </c>
      <c r="I22" s="43" t="s">
        <v>185</v>
      </c>
      <c r="J22" s="71">
        <v>1</v>
      </c>
      <c r="K22" s="45">
        <f t="shared" si="0"/>
        <v>80</v>
      </c>
      <c r="L22" s="45">
        <v>85</v>
      </c>
      <c r="M22" s="72" t="s">
        <v>174</v>
      </c>
      <c r="N22" s="47">
        <v>0.28159099999999998</v>
      </c>
      <c r="O22" s="25">
        <f t="shared" si="4"/>
        <v>23.935234999999999</v>
      </c>
      <c r="P22" s="80"/>
    </row>
    <row r="23" spans="1:16" s="2" customFormat="1" ht="16.5" thickBot="1" x14ac:dyDescent="0.3">
      <c r="A23" s="10">
        <v>22</v>
      </c>
      <c r="B23" s="150" t="s">
        <v>227</v>
      </c>
      <c r="C23" s="134" t="s">
        <v>91</v>
      </c>
      <c r="D23" s="125" t="s">
        <v>92</v>
      </c>
      <c r="E23" s="126" t="s">
        <v>94</v>
      </c>
      <c r="F23" s="126" t="s">
        <v>93</v>
      </c>
      <c r="G23" s="126" t="s">
        <v>95</v>
      </c>
      <c r="H23" s="127" t="s">
        <v>203</v>
      </c>
      <c r="I23" s="135"/>
      <c r="J23" s="128">
        <v>1</v>
      </c>
      <c r="K23" s="129">
        <f t="shared" si="0"/>
        <v>80</v>
      </c>
      <c r="L23" s="129"/>
      <c r="M23" s="130"/>
      <c r="N23" s="131"/>
      <c r="O23" s="132"/>
      <c r="P23" s="133" t="s">
        <v>258</v>
      </c>
    </row>
    <row r="24" spans="1:16" s="2" customFormat="1" ht="64.5" thickBot="1" x14ac:dyDescent="0.3">
      <c r="A24" s="10">
        <v>23</v>
      </c>
      <c r="B24" s="151"/>
      <c r="C24" s="81" t="s">
        <v>101</v>
      </c>
      <c r="D24" s="35" t="s">
        <v>103</v>
      </c>
      <c r="E24" s="32" t="s">
        <v>94</v>
      </c>
      <c r="F24" s="32" t="s">
        <v>96</v>
      </c>
      <c r="G24" s="32" t="s">
        <v>97</v>
      </c>
      <c r="H24" s="23" t="s">
        <v>203</v>
      </c>
      <c r="I24" s="32" t="s">
        <v>186</v>
      </c>
      <c r="J24" s="22">
        <v>45</v>
      </c>
      <c r="K24" s="33">
        <f t="shared" si="0"/>
        <v>3600</v>
      </c>
      <c r="L24" s="33">
        <v>3700</v>
      </c>
      <c r="M24" s="16" t="s">
        <v>174</v>
      </c>
      <c r="N24" s="24">
        <v>1.1938000000000001E-2</v>
      </c>
      <c r="O24" s="25">
        <f>N24*L24</f>
        <v>44.1706</v>
      </c>
      <c r="P24" s="86"/>
    </row>
    <row r="25" spans="1:16" s="2" customFormat="1" ht="26.25" thickBot="1" x14ac:dyDescent="0.25">
      <c r="A25" s="10">
        <v>24</v>
      </c>
      <c r="B25" s="152"/>
      <c r="C25" s="82" t="s">
        <v>98</v>
      </c>
      <c r="D25" s="78" t="s">
        <v>102</v>
      </c>
      <c r="E25" s="43" t="s">
        <v>94</v>
      </c>
      <c r="F25" s="43" t="s">
        <v>99</v>
      </c>
      <c r="G25" s="43" t="s">
        <v>100</v>
      </c>
      <c r="H25" s="70" t="s">
        <v>203</v>
      </c>
      <c r="I25" s="43" t="s">
        <v>187</v>
      </c>
      <c r="J25" s="71">
        <v>20</v>
      </c>
      <c r="K25" s="45">
        <f t="shared" si="0"/>
        <v>1600</v>
      </c>
      <c r="L25" s="45">
        <v>1700</v>
      </c>
      <c r="M25" s="79" t="s">
        <v>174</v>
      </c>
      <c r="N25" s="47">
        <v>3.5108E-2</v>
      </c>
      <c r="O25" s="48">
        <f>N25*L25</f>
        <v>59.683599999999998</v>
      </c>
      <c r="P25" s="80"/>
    </row>
    <row r="26" spans="1:16" s="2" customFormat="1" ht="16.5" thickBot="1" x14ac:dyDescent="0.25">
      <c r="A26" s="10">
        <v>25</v>
      </c>
      <c r="B26" s="150" t="s">
        <v>20</v>
      </c>
      <c r="C26" s="84" t="s">
        <v>104</v>
      </c>
      <c r="D26" s="36" t="s">
        <v>132</v>
      </c>
      <c r="E26" s="66" t="s">
        <v>106</v>
      </c>
      <c r="F26" s="66" t="s">
        <v>105</v>
      </c>
      <c r="G26" s="66" t="s">
        <v>7</v>
      </c>
      <c r="H26" s="67" t="s">
        <v>150</v>
      </c>
      <c r="I26" s="66" t="s">
        <v>206</v>
      </c>
      <c r="J26" s="67">
        <v>47</v>
      </c>
      <c r="K26" s="38">
        <f t="shared" si="0"/>
        <v>3760</v>
      </c>
      <c r="L26" s="38">
        <v>3700</v>
      </c>
      <c r="M26" s="68" t="s">
        <v>174</v>
      </c>
      <c r="N26" s="39">
        <v>6.6E-4</v>
      </c>
      <c r="O26" s="136">
        <f>N26*L26</f>
        <v>2.4420000000000002</v>
      </c>
      <c r="P26" s="77"/>
    </row>
    <row r="27" spans="1:16" s="2" customFormat="1" ht="16.5" thickBot="1" x14ac:dyDescent="0.25">
      <c r="A27" s="10">
        <v>26</v>
      </c>
      <c r="B27" s="151"/>
      <c r="C27" s="109" t="s">
        <v>107</v>
      </c>
      <c r="D27" s="110" t="s">
        <v>108</v>
      </c>
      <c r="E27" s="111" t="s">
        <v>106</v>
      </c>
      <c r="F27" s="111" t="s">
        <v>109</v>
      </c>
      <c r="G27" s="111" t="s">
        <v>7</v>
      </c>
      <c r="H27" s="98" t="s">
        <v>155</v>
      </c>
      <c r="I27" s="98" t="s">
        <v>204</v>
      </c>
      <c r="J27" s="98">
        <v>1</v>
      </c>
      <c r="K27" s="100">
        <f t="shared" si="0"/>
        <v>80</v>
      </c>
      <c r="L27" s="100">
        <v>100</v>
      </c>
      <c r="M27" s="101" t="s">
        <v>174</v>
      </c>
      <c r="N27" s="102">
        <v>7.9500000000000003E-4</v>
      </c>
      <c r="O27" s="103">
        <f>N27*L27</f>
        <v>7.9500000000000001E-2</v>
      </c>
      <c r="P27" s="104" t="s">
        <v>237</v>
      </c>
    </row>
    <row r="28" spans="1:16" s="2" customFormat="1" ht="16.5" thickBot="1" x14ac:dyDescent="0.25">
      <c r="A28" s="10">
        <v>27</v>
      </c>
      <c r="B28" s="151"/>
      <c r="C28" s="49" t="s">
        <v>110</v>
      </c>
      <c r="D28" s="26" t="s">
        <v>111</v>
      </c>
      <c r="E28" s="27" t="s">
        <v>106</v>
      </c>
      <c r="F28" s="27" t="s">
        <v>118</v>
      </c>
      <c r="G28" s="27" t="s">
        <v>7</v>
      </c>
      <c r="H28" s="22" t="s">
        <v>151</v>
      </c>
      <c r="I28" s="32" t="s">
        <v>205</v>
      </c>
      <c r="J28" s="22">
        <v>1</v>
      </c>
      <c r="K28" s="33">
        <f t="shared" si="0"/>
        <v>80</v>
      </c>
      <c r="L28" s="33">
        <v>100</v>
      </c>
      <c r="M28" s="9" t="s">
        <v>174</v>
      </c>
      <c r="N28" s="24">
        <v>1.057E-3</v>
      </c>
      <c r="O28" s="25">
        <f t="shared" ref="O28:O36" si="5">N28*L28</f>
        <v>0.1057</v>
      </c>
      <c r="P28" s="40"/>
    </row>
    <row r="29" spans="1:16" s="2" customFormat="1" ht="16.5" thickBot="1" x14ac:dyDescent="0.25">
      <c r="A29" s="10">
        <v>28</v>
      </c>
      <c r="B29" s="151"/>
      <c r="C29" s="49" t="s">
        <v>112</v>
      </c>
      <c r="D29" s="26" t="s">
        <v>212</v>
      </c>
      <c r="E29" s="27" t="s">
        <v>106</v>
      </c>
      <c r="F29" s="27" t="s">
        <v>119</v>
      </c>
      <c r="G29" s="27" t="s">
        <v>7</v>
      </c>
      <c r="H29" s="22" t="s">
        <v>152</v>
      </c>
      <c r="I29" s="32" t="s">
        <v>188</v>
      </c>
      <c r="J29" s="22">
        <v>2</v>
      </c>
      <c r="K29" s="33">
        <f t="shared" si="0"/>
        <v>160</v>
      </c>
      <c r="L29" s="33">
        <v>200</v>
      </c>
      <c r="M29" s="9" t="s">
        <v>174</v>
      </c>
      <c r="N29" s="24">
        <v>1.155E-3</v>
      </c>
      <c r="O29" s="25">
        <f t="shared" si="5"/>
        <v>0.23100000000000001</v>
      </c>
      <c r="P29" s="40"/>
    </row>
    <row r="30" spans="1:16" s="2" customFormat="1" ht="16.5" thickBot="1" x14ac:dyDescent="0.25">
      <c r="A30" s="10">
        <v>29</v>
      </c>
      <c r="B30" s="151"/>
      <c r="C30" s="49" t="s">
        <v>113</v>
      </c>
      <c r="D30" s="26" t="s">
        <v>114</v>
      </c>
      <c r="E30" s="27" t="s">
        <v>106</v>
      </c>
      <c r="F30" s="27" t="s">
        <v>120</v>
      </c>
      <c r="G30" s="27" t="s">
        <v>7</v>
      </c>
      <c r="H30" s="23" t="s">
        <v>213</v>
      </c>
      <c r="I30" s="32" t="s">
        <v>189</v>
      </c>
      <c r="J30" s="22">
        <v>1</v>
      </c>
      <c r="K30" s="33">
        <f t="shared" si="0"/>
        <v>80</v>
      </c>
      <c r="L30" s="33">
        <v>100</v>
      </c>
      <c r="M30" s="9" t="s">
        <v>174</v>
      </c>
      <c r="N30" s="24">
        <v>1.2719999999999999E-3</v>
      </c>
      <c r="O30" s="25">
        <f t="shared" si="5"/>
        <v>0.12719999999999998</v>
      </c>
      <c r="P30" s="40"/>
    </row>
    <row r="31" spans="1:16" s="2" customFormat="1" ht="16.5" thickBot="1" x14ac:dyDescent="0.25">
      <c r="A31" s="10">
        <v>30</v>
      </c>
      <c r="B31" s="151"/>
      <c r="C31" s="109" t="s">
        <v>117</v>
      </c>
      <c r="D31" s="110" t="s">
        <v>216</v>
      </c>
      <c r="E31" s="111" t="s">
        <v>106</v>
      </c>
      <c r="F31" s="137" t="s">
        <v>122</v>
      </c>
      <c r="G31" s="111" t="s">
        <v>7</v>
      </c>
      <c r="H31" s="138" t="s">
        <v>161</v>
      </c>
      <c r="I31" s="138" t="s">
        <v>219</v>
      </c>
      <c r="J31" s="98">
        <v>2</v>
      </c>
      <c r="K31" s="100">
        <f t="shared" si="0"/>
        <v>160</v>
      </c>
      <c r="L31" s="100">
        <v>200</v>
      </c>
      <c r="M31" s="101" t="s">
        <v>174</v>
      </c>
      <c r="N31" s="102">
        <v>1.9780000000000002E-3</v>
      </c>
      <c r="O31" s="103">
        <f>N31*L31</f>
        <v>0.39560000000000001</v>
      </c>
      <c r="P31" s="104" t="s">
        <v>237</v>
      </c>
    </row>
    <row r="32" spans="1:16" s="2" customFormat="1" ht="16.5" thickBot="1" x14ac:dyDescent="0.25">
      <c r="A32" s="10">
        <v>31</v>
      </c>
      <c r="B32" s="151"/>
      <c r="C32" s="49" t="s">
        <v>115</v>
      </c>
      <c r="D32" s="26" t="s">
        <v>116</v>
      </c>
      <c r="E32" s="27" t="s">
        <v>106</v>
      </c>
      <c r="F32" s="27" t="s">
        <v>121</v>
      </c>
      <c r="G32" s="27" t="s">
        <v>7</v>
      </c>
      <c r="H32" s="23" t="s">
        <v>153</v>
      </c>
      <c r="I32" s="32" t="s">
        <v>190</v>
      </c>
      <c r="J32" s="22">
        <v>1</v>
      </c>
      <c r="K32" s="33">
        <f t="shared" si="0"/>
        <v>80</v>
      </c>
      <c r="L32" s="33">
        <v>100</v>
      </c>
      <c r="M32" s="9" t="s">
        <v>174</v>
      </c>
      <c r="N32" s="24">
        <v>1.225E-3</v>
      </c>
      <c r="O32" s="25">
        <f t="shared" si="5"/>
        <v>0.1225</v>
      </c>
      <c r="P32" s="40"/>
    </row>
    <row r="33" spans="1:16" s="2" customFormat="1" ht="16.5" thickBot="1" x14ac:dyDescent="0.25">
      <c r="A33" s="10">
        <v>32</v>
      </c>
      <c r="B33" s="151"/>
      <c r="C33" s="49" t="s">
        <v>123</v>
      </c>
      <c r="D33" s="26" t="s">
        <v>225</v>
      </c>
      <c r="E33" s="27" t="s">
        <v>106</v>
      </c>
      <c r="F33" s="30" t="s">
        <v>124</v>
      </c>
      <c r="G33" s="27" t="s">
        <v>7</v>
      </c>
      <c r="H33" s="23" t="s">
        <v>154</v>
      </c>
      <c r="I33" s="32" t="s">
        <v>191</v>
      </c>
      <c r="J33" s="22">
        <v>2</v>
      </c>
      <c r="K33" s="33">
        <f t="shared" si="0"/>
        <v>160</v>
      </c>
      <c r="L33" s="33">
        <v>200</v>
      </c>
      <c r="M33" s="9" t="s">
        <v>174</v>
      </c>
      <c r="N33" s="24">
        <v>1.0547000000000001E-2</v>
      </c>
      <c r="O33" s="25">
        <f t="shared" si="5"/>
        <v>2.1093999999999999</v>
      </c>
      <c r="P33" s="40"/>
    </row>
    <row r="34" spans="1:16" s="2" customFormat="1" ht="16.5" thickBot="1" x14ac:dyDescent="0.25">
      <c r="A34" s="10">
        <v>33</v>
      </c>
      <c r="B34" s="151"/>
      <c r="C34" s="109" t="s">
        <v>125</v>
      </c>
      <c r="D34" s="110" t="s">
        <v>226</v>
      </c>
      <c r="E34" s="111" t="s">
        <v>106</v>
      </c>
      <c r="F34" s="139" t="s">
        <v>126</v>
      </c>
      <c r="G34" s="111" t="s">
        <v>7</v>
      </c>
      <c r="H34" s="138" t="s">
        <v>156</v>
      </c>
      <c r="I34" s="138" t="s">
        <v>220</v>
      </c>
      <c r="J34" s="98">
        <v>4</v>
      </c>
      <c r="K34" s="100">
        <f t="shared" si="0"/>
        <v>320</v>
      </c>
      <c r="L34" s="100">
        <v>400</v>
      </c>
      <c r="M34" s="101" t="s">
        <v>174</v>
      </c>
      <c r="N34" s="102">
        <v>1.1479999999999999E-3</v>
      </c>
      <c r="O34" s="103">
        <f t="shared" si="5"/>
        <v>0.4592</v>
      </c>
      <c r="P34" s="104" t="s">
        <v>237</v>
      </c>
    </row>
    <row r="35" spans="1:16" s="2" customFormat="1" ht="16.5" thickBot="1" x14ac:dyDescent="0.25">
      <c r="A35" s="10">
        <v>34</v>
      </c>
      <c r="B35" s="151"/>
      <c r="C35" s="49" t="s">
        <v>127</v>
      </c>
      <c r="D35" s="26" t="s">
        <v>128</v>
      </c>
      <c r="E35" s="27" t="s">
        <v>106</v>
      </c>
      <c r="F35" s="27" t="s">
        <v>129</v>
      </c>
      <c r="G35" s="27" t="s">
        <v>7</v>
      </c>
      <c r="H35" s="23" t="s">
        <v>157</v>
      </c>
      <c r="I35" s="32" t="s">
        <v>192</v>
      </c>
      <c r="J35" s="22">
        <v>1</v>
      </c>
      <c r="K35" s="33">
        <f t="shared" si="0"/>
        <v>80</v>
      </c>
      <c r="L35" s="33">
        <v>100</v>
      </c>
      <c r="M35" s="9" t="s">
        <v>174</v>
      </c>
      <c r="N35" s="24">
        <v>3.0200000000000001E-3</v>
      </c>
      <c r="O35" s="25">
        <f t="shared" si="5"/>
        <v>0.30199999999999999</v>
      </c>
      <c r="P35" s="40"/>
    </row>
    <row r="36" spans="1:16" s="2" customFormat="1" ht="16.5" thickBot="1" x14ac:dyDescent="0.25">
      <c r="A36" s="13">
        <v>35</v>
      </c>
      <c r="B36" s="151"/>
      <c r="C36" s="49" t="s">
        <v>130</v>
      </c>
      <c r="D36" s="26" t="s">
        <v>215</v>
      </c>
      <c r="E36" s="27" t="s">
        <v>106</v>
      </c>
      <c r="F36" s="27" t="s">
        <v>131</v>
      </c>
      <c r="G36" s="27" t="s">
        <v>7</v>
      </c>
      <c r="H36" s="23" t="s">
        <v>160</v>
      </c>
      <c r="I36" s="32" t="s">
        <v>199</v>
      </c>
      <c r="J36" s="22">
        <v>4</v>
      </c>
      <c r="K36" s="33">
        <f t="shared" si="0"/>
        <v>320</v>
      </c>
      <c r="L36" s="33">
        <v>400</v>
      </c>
      <c r="M36" s="9" t="s">
        <v>174</v>
      </c>
      <c r="N36" s="24">
        <v>1.9009999999999999E-3</v>
      </c>
      <c r="O36" s="25">
        <f t="shared" si="5"/>
        <v>0.76039999999999996</v>
      </c>
      <c r="P36" s="40"/>
    </row>
    <row r="37" spans="1:16" s="2" customFormat="1" ht="39" thickBot="1" x14ac:dyDescent="0.3">
      <c r="A37" s="13">
        <v>36</v>
      </c>
      <c r="B37" s="152"/>
      <c r="C37" s="82" t="s">
        <v>158</v>
      </c>
      <c r="D37" s="83" t="s">
        <v>214</v>
      </c>
      <c r="E37" s="43" t="s">
        <v>106</v>
      </c>
      <c r="F37" s="43" t="s">
        <v>159</v>
      </c>
      <c r="G37" s="43" t="s">
        <v>7</v>
      </c>
      <c r="H37" s="70" t="s">
        <v>162</v>
      </c>
      <c r="I37" s="43" t="s">
        <v>200</v>
      </c>
      <c r="J37" s="71">
        <v>20</v>
      </c>
      <c r="K37" s="45">
        <f t="shared" si="0"/>
        <v>1600</v>
      </c>
      <c r="L37" s="45">
        <v>1700</v>
      </c>
      <c r="M37" s="72" t="s">
        <v>174</v>
      </c>
      <c r="N37" s="47">
        <v>8.1700000000000002E-4</v>
      </c>
      <c r="O37" s="48">
        <f>N37*L37</f>
        <v>1.3889</v>
      </c>
      <c r="P37" s="80"/>
    </row>
    <row r="38" spans="1:16" s="2" customFormat="1" ht="16.5" thickBot="1" x14ac:dyDescent="0.25">
      <c r="A38" s="13">
        <v>37</v>
      </c>
      <c r="B38" s="165" t="s">
        <v>231</v>
      </c>
      <c r="C38" s="36" t="s">
        <v>133</v>
      </c>
      <c r="D38" s="36" t="s">
        <v>134</v>
      </c>
      <c r="E38" s="65" t="s">
        <v>228</v>
      </c>
      <c r="F38" s="37" t="s">
        <v>137</v>
      </c>
      <c r="G38" s="37" t="s">
        <v>138</v>
      </c>
      <c r="H38" s="65" t="s">
        <v>203</v>
      </c>
      <c r="I38" s="66" t="s">
        <v>201</v>
      </c>
      <c r="J38" s="67">
        <v>1</v>
      </c>
      <c r="K38" s="38">
        <f t="shared" si="0"/>
        <v>80</v>
      </c>
      <c r="L38" s="38">
        <v>85</v>
      </c>
      <c r="M38" s="68" t="s">
        <v>174</v>
      </c>
      <c r="N38" s="39">
        <v>0.230682</v>
      </c>
      <c r="O38" s="136">
        <f t="shared" ref="O38:O43" si="6">N38*L38</f>
        <v>19.607969999999998</v>
      </c>
      <c r="P38" s="77"/>
    </row>
    <row r="39" spans="1:16" s="2" customFormat="1" ht="16.5" thickBot="1" x14ac:dyDescent="0.25">
      <c r="A39" s="13">
        <v>38</v>
      </c>
      <c r="B39" s="166"/>
      <c r="C39" s="41" t="s">
        <v>135</v>
      </c>
      <c r="D39" s="41" t="s">
        <v>136</v>
      </c>
      <c r="E39" s="70" t="s">
        <v>228</v>
      </c>
      <c r="F39" s="42" t="s">
        <v>259</v>
      </c>
      <c r="G39" s="42" t="s">
        <v>139</v>
      </c>
      <c r="H39" s="70" t="s">
        <v>203</v>
      </c>
      <c r="I39" s="43" t="s">
        <v>202</v>
      </c>
      <c r="J39" s="71">
        <v>1</v>
      </c>
      <c r="K39" s="45">
        <f t="shared" si="0"/>
        <v>80</v>
      </c>
      <c r="L39" s="45">
        <v>85</v>
      </c>
      <c r="M39" s="72" t="s">
        <v>174</v>
      </c>
      <c r="N39" s="47">
        <v>0.29749999999999999</v>
      </c>
      <c r="O39" s="48">
        <f t="shared" si="6"/>
        <v>25.287499999999998</v>
      </c>
      <c r="P39" s="80"/>
    </row>
    <row r="40" spans="1:16" s="2" customFormat="1" ht="16.5" thickBot="1" x14ac:dyDescent="0.25">
      <c r="A40" s="13">
        <v>39</v>
      </c>
      <c r="B40" s="165" t="s">
        <v>232</v>
      </c>
      <c r="C40" s="36" t="s">
        <v>140</v>
      </c>
      <c r="D40" s="36" t="s">
        <v>263</v>
      </c>
      <c r="E40" s="37" t="s">
        <v>144</v>
      </c>
      <c r="F40" s="37" t="s">
        <v>264</v>
      </c>
      <c r="G40" s="37" t="s">
        <v>145</v>
      </c>
      <c r="H40" s="65" t="s">
        <v>203</v>
      </c>
      <c r="I40" s="66" t="s">
        <v>265</v>
      </c>
      <c r="J40" s="67">
        <v>2</v>
      </c>
      <c r="K40" s="38">
        <f t="shared" si="0"/>
        <v>160</v>
      </c>
      <c r="L40" s="38">
        <v>165</v>
      </c>
      <c r="M40" s="68" t="s">
        <v>174</v>
      </c>
      <c r="N40" s="39">
        <v>0.105541</v>
      </c>
      <c r="O40" s="136">
        <f>N40*L40</f>
        <v>17.414265</v>
      </c>
      <c r="P40" s="77"/>
    </row>
    <row r="41" spans="1:16" s="2" customFormat="1" ht="16.5" thickBot="1" x14ac:dyDescent="0.25">
      <c r="A41" s="13">
        <v>40</v>
      </c>
      <c r="B41" s="167"/>
      <c r="C41" s="168" t="s">
        <v>266</v>
      </c>
      <c r="D41" s="168" t="s">
        <v>141</v>
      </c>
      <c r="E41" s="169" t="s">
        <v>267</v>
      </c>
      <c r="F41" s="170" t="s">
        <v>268</v>
      </c>
      <c r="G41" s="171" t="s">
        <v>269</v>
      </c>
      <c r="H41" s="23" t="s">
        <v>203</v>
      </c>
      <c r="I41" s="23" t="s">
        <v>270</v>
      </c>
      <c r="J41" s="22">
        <v>1</v>
      </c>
      <c r="K41" s="33">
        <f t="shared" si="0"/>
        <v>80</v>
      </c>
      <c r="L41" s="33">
        <v>85</v>
      </c>
      <c r="M41" s="9" t="s">
        <v>174</v>
      </c>
      <c r="N41" s="24">
        <v>0.143118</v>
      </c>
      <c r="O41" s="25">
        <f t="shared" si="6"/>
        <v>12.16503</v>
      </c>
      <c r="P41" s="40"/>
    </row>
    <row r="42" spans="1:16" s="2" customFormat="1" ht="16.5" thickBot="1" x14ac:dyDescent="0.25">
      <c r="A42" s="13">
        <v>41</v>
      </c>
      <c r="B42" s="166"/>
      <c r="C42" s="172" t="s">
        <v>142</v>
      </c>
      <c r="D42" s="172" t="s">
        <v>143</v>
      </c>
      <c r="E42" s="173" t="s">
        <v>146</v>
      </c>
      <c r="F42" s="173" t="s">
        <v>271</v>
      </c>
      <c r="G42" s="70" t="s">
        <v>230</v>
      </c>
      <c r="H42" s="70" t="s">
        <v>203</v>
      </c>
      <c r="I42" s="71" t="s">
        <v>218</v>
      </c>
      <c r="J42" s="71">
        <v>1</v>
      </c>
      <c r="K42" s="45">
        <f t="shared" si="0"/>
        <v>80</v>
      </c>
      <c r="L42" s="45">
        <v>82</v>
      </c>
      <c r="M42" s="72" t="s">
        <v>174</v>
      </c>
      <c r="N42" s="47">
        <v>1.1868179999999999</v>
      </c>
      <c r="O42" s="25">
        <f t="shared" si="6"/>
        <v>97.319075999999995</v>
      </c>
      <c r="P42" s="80"/>
    </row>
    <row r="43" spans="1:16" s="2" customFormat="1" ht="16.5" thickBot="1" x14ac:dyDescent="0.25">
      <c r="A43" s="13">
        <v>42</v>
      </c>
      <c r="B43" s="61" t="s">
        <v>233</v>
      </c>
      <c r="C43" s="174" t="s">
        <v>272</v>
      </c>
      <c r="D43" s="174" t="s">
        <v>149</v>
      </c>
      <c r="E43" s="54" t="s">
        <v>228</v>
      </c>
      <c r="F43" s="175" t="s">
        <v>273</v>
      </c>
      <c r="G43" s="54" t="s">
        <v>274</v>
      </c>
      <c r="H43" s="54" t="s">
        <v>203</v>
      </c>
      <c r="I43" s="54" t="s">
        <v>275</v>
      </c>
      <c r="J43" s="52">
        <v>1</v>
      </c>
      <c r="K43" s="56">
        <f t="shared" si="0"/>
        <v>80</v>
      </c>
      <c r="L43" s="56">
        <v>85</v>
      </c>
      <c r="M43" s="57" t="s">
        <v>174</v>
      </c>
      <c r="N43" s="58">
        <v>6.8266999999999994E-2</v>
      </c>
      <c r="O43" s="59">
        <f t="shared" si="6"/>
        <v>5.8026949999999999</v>
      </c>
      <c r="P43" s="60"/>
    </row>
    <row r="44" spans="1:16" s="2" customFormat="1" ht="16.5" thickBot="1" x14ac:dyDescent="0.25">
      <c r="A44" s="13">
        <v>43</v>
      </c>
      <c r="B44" s="165" t="s">
        <v>234</v>
      </c>
      <c r="C44" s="88" t="s">
        <v>163</v>
      </c>
      <c r="D44" s="88" t="s">
        <v>224</v>
      </c>
      <c r="E44" s="123" t="s">
        <v>203</v>
      </c>
      <c r="F44" s="123" t="s">
        <v>203</v>
      </c>
      <c r="G44" s="123" t="s">
        <v>203</v>
      </c>
      <c r="H44" s="123" t="s">
        <v>203</v>
      </c>
      <c r="I44" s="123" t="s">
        <v>203</v>
      </c>
      <c r="J44" s="124">
        <v>6</v>
      </c>
      <c r="K44" s="91">
        <f t="shared" si="0"/>
        <v>480</v>
      </c>
      <c r="L44" s="142" t="s">
        <v>203</v>
      </c>
      <c r="M44" s="123" t="s">
        <v>203</v>
      </c>
      <c r="N44" s="142" t="s">
        <v>203</v>
      </c>
      <c r="O44" s="142" t="s">
        <v>203</v>
      </c>
      <c r="P44" s="144" t="s">
        <v>277</v>
      </c>
    </row>
    <row r="45" spans="1:16" s="2" customFormat="1" ht="16.5" thickBot="1" x14ac:dyDescent="0.25">
      <c r="A45" s="13">
        <v>44</v>
      </c>
      <c r="B45" s="167"/>
      <c r="C45" s="105" t="s">
        <v>164</v>
      </c>
      <c r="D45" s="105" t="s">
        <v>165</v>
      </c>
      <c r="E45" s="140" t="s">
        <v>228</v>
      </c>
      <c r="F45" s="141" t="s">
        <v>166</v>
      </c>
      <c r="G45" s="141" t="s">
        <v>167</v>
      </c>
      <c r="H45" s="140" t="s">
        <v>203</v>
      </c>
      <c r="I45" s="140" t="s">
        <v>280</v>
      </c>
      <c r="J45" s="106">
        <v>1</v>
      </c>
      <c r="K45" s="107">
        <f t="shared" si="0"/>
        <v>80</v>
      </c>
      <c r="L45" s="140" t="s">
        <v>203</v>
      </c>
      <c r="M45" s="108" t="s">
        <v>276</v>
      </c>
      <c r="N45" s="140" t="s">
        <v>203</v>
      </c>
      <c r="O45" s="140" t="s">
        <v>203</v>
      </c>
      <c r="P45" s="146" t="s">
        <v>258</v>
      </c>
    </row>
    <row r="46" spans="1:16" s="2" customFormat="1" ht="16.5" thickBot="1" x14ac:dyDescent="0.25">
      <c r="A46" s="13">
        <v>45</v>
      </c>
      <c r="B46" s="167"/>
      <c r="C46" s="105" t="s">
        <v>168</v>
      </c>
      <c r="D46" s="105" t="s">
        <v>278</v>
      </c>
      <c r="E46" s="140" t="s">
        <v>228</v>
      </c>
      <c r="F46" s="141" t="s">
        <v>169</v>
      </c>
      <c r="G46" s="141" t="s">
        <v>170</v>
      </c>
      <c r="H46" s="140" t="s">
        <v>203</v>
      </c>
      <c r="I46" s="140" t="s">
        <v>279</v>
      </c>
      <c r="J46" s="106">
        <v>2</v>
      </c>
      <c r="K46" s="107">
        <f t="shared" si="0"/>
        <v>160</v>
      </c>
      <c r="L46" s="143" t="s">
        <v>203</v>
      </c>
      <c r="M46" s="108" t="s">
        <v>276</v>
      </c>
      <c r="N46" s="143" t="s">
        <v>203</v>
      </c>
      <c r="O46" s="143" t="s">
        <v>203</v>
      </c>
      <c r="P46" s="145" t="s">
        <v>258</v>
      </c>
    </row>
    <row r="47" spans="1:16" s="2" customFormat="1" ht="16.5" thickBot="1" x14ac:dyDescent="0.25">
      <c r="A47" s="13">
        <v>46</v>
      </c>
      <c r="B47" s="166"/>
      <c r="C47" s="41" t="s">
        <v>147</v>
      </c>
      <c r="D47" s="41" t="s">
        <v>148</v>
      </c>
      <c r="E47" s="70" t="s">
        <v>228</v>
      </c>
      <c r="F47" s="85" t="s">
        <v>171</v>
      </c>
      <c r="G47" s="85" t="s">
        <v>172</v>
      </c>
      <c r="H47" s="70" t="s">
        <v>203</v>
      </c>
      <c r="I47" s="43" t="s">
        <v>217</v>
      </c>
      <c r="J47" s="71">
        <v>1</v>
      </c>
      <c r="K47" s="45">
        <f t="shared" si="0"/>
        <v>80</v>
      </c>
      <c r="L47" s="45">
        <v>85</v>
      </c>
      <c r="M47" s="72" t="s">
        <v>174</v>
      </c>
      <c r="N47" s="47">
        <v>0.225909</v>
      </c>
      <c r="O47" s="48">
        <f>N47*L47</f>
        <v>19.202265000000001</v>
      </c>
      <c r="P47" s="80"/>
    </row>
    <row r="48" spans="1:16" s="2" customFormat="1" ht="15.75" thickBot="1" x14ac:dyDescent="0.3">
      <c r="J48" s="159" t="s">
        <v>44</v>
      </c>
      <c r="K48" s="160"/>
      <c r="L48" s="160"/>
      <c r="M48" s="160"/>
      <c r="N48" s="161"/>
      <c r="O48" s="20">
        <f>SUM(O3:O47)</f>
        <v>515.38556100000005</v>
      </c>
      <c r="P48" s="6"/>
    </row>
    <row r="49" spans="1:16" s="2" customFormat="1" ht="15.75" thickBot="1" x14ac:dyDescent="0.3">
      <c r="J49" s="162" t="s">
        <v>45</v>
      </c>
      <c r="K49" s="163"/>
      <c r="L49" s="163"/>
      <c r="M49" s="163"/>
      <c r="N49" s="164"/>
      <c r="O49" s="21">
        <v>35</v>
      </c>
      <c r="P49" s="6"/>
    </row>
    <row r="50" spans="1:16" s="2" customFormat="1" ht="19.5" thickBot="1" x14ac:dyDescent="0.35">
      <c r="C50" s="19" t="s">
        <v>42</v>
      </c>
      <c r="D50"/>
      <c r="E50" s="3"/>
      <c r="J50" s="162" t="s">
        <v>46</v>
      </c>
      <c r="K50" s="163"/>
      <c r="L50" s="163"/>
      <c r="M50" s="163"/>
      <c r="N50" s="164"/>
      <c r="O50" s="21">
        <v>70</v>
      </c>
      <c r="P50" s="6"/>
    </row>
    <row r="51" spans="1:16" s="2" customFormat="1" ht="15.75" thickBot="1" x14ac:dyDescent="0.3">
      <c r="C51" s="153" t="s">
        <v>235</v>
      </c>
      <c r="D51" s="154"/>
      <c r="E51" s="155"/>
      <c r="J51" s="162" t="s">
        <v>47</v>
      </c>
      <c r="K51" s="163"/>
      <c r="L51" s="163"/>
      <c r="M51" s="163"/>
      <c r="N51" s="164"/>
      <c r="O51" s="21">
        <f>SUM(O48:O50)</f>
        <v>620.38556100000005</v>
      </c>
      <c r="P51" s="6"/>
    </row>
    <row r="52" spans="1:16" s="2" customFormat="1" ht="15.75" thickBot="1" x14ac:dyDescent="0.3">
      <c r="C52" s="156" t="s">
        <v>43</v>
      </c>
      <c r="D52" s="157"/>
      <c r="E52" s="158"/>
      <c r="J52" s="6"/>
      <c r="P52" s="6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K53" s="2"/>
      <c r="L53" s="2"/>
      <c r="M53" s="2"/>
      <c r="N53" s="2"/>
      <c r="O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K54" s="2"/>
      <c r="L54" s="2"/>
      <c r="M54" s="2"/>
      <c r="N54" s="2"/>
      <c r="O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K55" s="2"/>
      <c r="L55" s="2"/>
      <c r="M55" s="2"/>
      <c r="N55" s="2"/>
      <c r="O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K56" s="2"/>
      <c r="L56" s="2"/>
      <c r="M56" s="2"/>
      <c r="N56" s="2"/>
      <c r="O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K57" s="2"/>
      <c r="L57" s="2"/>
      <c r="M57" s="2"/>
      <c r="N57" s="2"/>
      <c r="O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K58" s="2"/>
      <c r="L58" s="2"/>
      <c r="M58" s="2"/>
      <c r="N58" s="2"/>
      <c r="O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K59" s="2"/>
      <c r="L59" s="2"/>
      <c r="M59" s="2"/>
      <c r="N59" s="2"/>
      <c r="O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K60" s="2"/>
      <c r="L60" s="2"/>
      <c r="M60" s="2"/>
      <c r="N60" s="2"/>
      <c r="O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K61" s="2"/>
      <c r="L61" s="2"/>
      <c r="M61" s="2"/>
      <c r="N61" s="2"/>
      <c r="O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K62" s="2"/>
      <c r="L62" s="2"/>
      <c r="M62" s="2"/>
      <c r="N62" s="2"/>
      <c r="O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K63" s="2"/>
      <c r="L63" s="2"/>
      <c r="M63" s="2"/>
      <c r="N63" s="2"/>
      <c r="O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K77" s="2"/>
      <c r="L77" s="2"/>
      <c r="M77" s="2"/>
      <c r="N77" s="2"/>
      <c r="O77" s="2"/>
    </row>
  </sheetData>
  <mergeCells count="14">
    <mergeCell ref="A1:P1"/>
    <mergeCell ref="B20:B22"/>
    <mergeCell ref="C51:E51"/>
    <mergeCell ref="C52:E52"/>
    <mergeCell ref="J48:N48"/>
    <mergeCell ref="J49:N49"/>
    <mergeCell ref="J50:N50"/>
    <mergeCell ref="J51:N51"/>
    <mergeCell ref="B26:B37"/>
    <mergeCell ref="B23:B25"/>
    <mergeCell ref="B3:B16"/>
    <mergeCell ref="B38:B39"/>
    <mergeCell ref="B40:B42"/>
    <mergeCell ref="B44:B47"/>
  </mergeCells>
  <hyperlinks>
    <hyperlink ref="F11" tooltip="Manufacturer" display="'GCM1555C1H470JA16D"/>
    <hyperlink ref="F33" tooltip="Manufacturer" display="'RT0402FRE071KL"/>
    <hyperlink ref="F34" tooltip="Manufacturer" display="'RC0402FR-074K7L"/>
    <hyperlink ref="M9" r:id="rId1"/>
    <hyperlink ref="M10" r:id="rId2"/>
    <hyperlink ref="M11" r:id="rId3"/>
    <hyperlink ref="M12" r:id="rId4"/>
    <hyperlink ref="M14" r:id="rId5"/>
    <hyperlink ref="M15" r:id="rId6"/>
    <hyperlink ref="M16" r:id="rId7"/>
    <hyperlink ref="M17" r:id="rId8"/>
    <hyperlink ref="M18" r:id="rId9"/>
    <hyperlink ref="M19" r:id="rId10"/>
    <hyperlink ref="M21" r:id="rId11"/>
    <hyperlink ref="M22" r:id="rId12"/>
    <hyperlink ref="M24" r:id="rId13"/>
    <hyperlink ref="M25" r:id="rId14"/>
    <hyperlink ref="M26" r:id="rId15"/>
    <hyperlink ref="M28" r:id="rId16"/>
    <hyperlink ref="M29" r:id="rId17"/>
    <hyperlink ref="M30" r:id="rId18"/>
    <hyperlink ref="M32" r:id="rId19"/>
    <hyperlink ref="M33" r:id="rId20"/>
    <hyperlink ref="M35" r:id="rId21"/>
    <hyperlink ref="M36" r:id="rId22"/>
    <hyperlink ref="M37" r:id="rId23"/>
    <hyperlink ref="M38" r:id="rId24"/>
    <hyperlink ref="M39" r:id="rId25"/>
    <hyperlink ref="M40" r:id="rId26"/>
    <hyperlink ref="M47" r:id="rId27"/>
    <hyperlink ref="M27" r:id="rId28"/>
    <hyperlink ref="M3" r:id="rId29"/>
    <hyperlink ref="M4" r:id="rId30"/>
    <hyperlink ref="F31" tooltip="Manufacturer" display="'RT0402FRE0727RL"/>
    <hyperlink ref="M42" r:id="rId31"/>
    <hyperlink ref="M31" r:id="rId32"/>
    <hyperlink ref="M34" r:id="rId33"/>
    <hyperlink ref="M6" r:id="rId34"/>
    <hyperlink ref="M7" r:id="rId35"/>
    <hyperlink ref="M5" r:id="rId36"/>
    <hyperlink ref="M8" r:id="rId37"/>
    <hyperlink ref="M13" r:id="rId38"/>
    <hyperlink ref="M20" r:id="rId39"/>
    <hyperlink ref="M41" r:id="rId40"/>
    <hyperlink ref="M43" r:id="rId41"/>
    <hyperlink ref="M45" r:id="rId42"/>
    <hyperlink ref="M46" r:id="rId43"/>
  </hyperlinks>
  <pageMargins left="0.7" right="0.7" top="0.75" bottom="0.75" header="0.3" footer="0.3"/>
  <pageSetup orientation="portrait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Faizan Ur Rahman</cp:lastModifiedBy>
  <dcterms:created xsi:type="dcterms:W3CDTF">2020-04-11T17:47:44Z</dcterms:created>
  <dcterms:modified xsi:type="dcterms:W3CDTF">2020-05-21T01:13:30Z</dcterms:modified>
</cp:coreProperties>
</file>