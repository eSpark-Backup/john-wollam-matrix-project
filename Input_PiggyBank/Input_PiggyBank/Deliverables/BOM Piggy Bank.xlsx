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park Group\Desktop\Final Core Files\Input_PiggyBank\Input_PiggyBank\Deliverables\BOM\"/>
    </mc:Choice>
  </mc:AlternateContent>
  <bookViews>
    <workbookView xWindow="0" yWindow="0" windowWidth="20490" windowHeight="777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3" i="1"/>
  <c r="A4" i="1" l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<sst xmlns="http://schemas.openxmlformats.org/spreadsheetml/2006/main" count="55" uniqueCount="49">
  <si>
    <t>S. No.</t>
  </si>
  <si>
    <t>Comment Type</t>
  </si>
  <si>
    <t>Description</t>
  </si>
  <si>
    <t>Designator</t>
  </si>
  <si>
    <t>Footprint (Package)</t>
  </si>
  <si>
    <t>Manufacturer Part Number</t>
  </si>
  <si>
    <t>Manufacturer</t>
  </si>
  <si>
    <t>Value</t>
  </si>
  <si>
    <t>Quantity</t>
  </si>
  <si>
    <t>Total Quantity</t>
  </si>
  <si>
    <t>Resistor</t>
  </si>
  <si>
    <t>10K</t>
  </si>
  <si>
    <t>Res0402</t>
  </si>
  <si>
    <t>IC</t>
  </si>
  <si>
    <t>J1</t>
  </si>
  <si>
    <t xml:space="preserve">Notes: </t>
  </si>
  <si>
    <t xml:space="preserve">2- Supplier costing and custom charges are added in the final cost. </t>
  </si>
  <si>
    <t xml:space="preserve">Total Component Cost </t>
  </si>
  <si>
    <t>Res0603</t>
  </si>
  <si>
    <t>1- The costing is done for Fifty (50) boards. All components will be calculated with multiplication factor Fifty (50).</t>
  </si>
  <si>
    <t>RES SMD 390 OHM 5% 1/10W 0603</t>
  </si>
  <si>
    <t>R1, R4, R7, R10, R13</t>
  </si>
  <si>
    <t>RES 240 OHM 1% 1/16W 0402</t>
  </si>
  <si>
    <t>R2, R5, R8, R11, R14</t>
  </si>
  <si>
    <t>RES SMD 10K OHM 1% 1/10W 0603</t>
  </si>
  <si>
    <t>R3, R6, R9, R12, R15</t>
  </si>
  <si>
    <t>RC0603JR-07390RL</t>
  </si>
  <si>
    <t>CRCW0402240RFKEDC</t>
  </si>
  <si>
    <t>RC0603FR-0710KL</t>
  </si>
  <si>
    <t>390R</t>
  </si>
  <si>
    <t>240R</t>
  </si>
  <si>
    <t>OPTOISOLATOR TRANSISTOR SMD</t>
  </si>
  <si>
    <t>U1, U2, U3, U4, U5</t>
  </si>
  <si>
    <t>PC3H712NIP1H</t>
  </si>
  <si>
    <t>TERM BLK 12P SIDE ENT 5.08MM PCB</t>
  </si>
  <si>
    <t>5.08mm right angle single row pin header connector</t>
  </si>
  <si>
    <t>J2</t>
  </si>
  <si>
    <t>Custom</t>
  </si>
  <si>
    <t>1729225</t>
  </si>
  <si>
    <t>088 Female header</t>
  </si>
  <si>
    <t>Connector</t>
  </si>
  <si>
    <t xml:space="preserve"> 
Yageo</t>
  </si>
  <si>
    <t xml:space="preserve"> 
Vishay Dale</t>
  </si>
  <si>
    <t>SHARP/Socle Technology</t>
  </si>
  <si>
    <t>Phoenix Contact</t>
  </si>
  <si>
    <t>JILN</t>
  </si>
  <si>
    <t>----</t>
  </si>
  <si>
    <t xml:space="preserve">    </t>
  </si>
  <si>
    <t>Bill of Material (BOM) for Piggy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</si>
</sst>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3333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3" xfId="0" quotePrefix="1" applyFont="1" applyBorder="1" applyAlignment="1">
      <alignment vertical="center" wrapText="1"/>
    </xf>
    <xf numFmtId="0" fontId="3" fillId="0" borderId="3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2" xfId="0" quotePrefix="1" applyFont="1" applyBorder="1" applyAlignment="1">
      <alignment vertical="center" wrapText="1"/>
    </xf>
    <xf numFmtId="0" fontId="3" fillId="0" borderId="12" xfId="0" quotePrefix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18" xfId="0" quotePrefix="1" applyFont="1" applyBorder="1" applyAlignment="1">
      <alignment vertical="center" wrapText="1"/>
    </xf>
    <xf numFmtId="0" fontId="3" fillId="0" borderId="3" xfId="0" quotePrefix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0" xfId="0" quotePrefix="1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21" xfId="0" quotePrefix="1" applyFont="1" applyBorder="1" applyAlignment="1">
      <alignment vertical="center" wrapText="1"/>
    </xf>
    <xf numFmtId="0" fontId="3" fillId="0" borderId="16" xfId="0" quotePrefix="1" applyFont="1" applyBorder="1" applyAlignment="1">
      <alignment vertical="center" wrapText="1"/>
    </xf>
    <xf numFmtId="0" fontId="3" fillId="0" borderId="16" xfId="0" quotePrefix="1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zoomScaleNormal="100" workbookViewId="0">
      <selection activeCell="A2" sqref="A2"/>
    </sheetView>
  </sheetViews>
  <sheetFormatPr defaultRowHeight="15" x14ac:dyDescent="0.25"/>
  <cols>
    <col min="2" max="2" width="15.85546875" bestFit="1" customWidth="1"/>
    <col min="3" max="3" width="43.85546875" customWidth="1"/>
    <col min="4" max="4" width="16.5703125" bestFit="1" customWidth="1"/>
    <col min="5" max="5" width="42.42578125" customWidth="1"/>
    <col min="6" max="6" width="32.140625" style="2" bestFit="1" customWidth="1"/>
    <col min="7" max="7" width="20.85546875" customWidth="1"/>
    <col min="8" max="8" width="6.42578125" style="2" bestFit="1" customWidth="1"/>
    <col min="9" max="9" width="9.7109375" bestFit="1" customWidth="1"/>
    <col min="10" max="10" width="15.42578125" bestFit="1" customWidth="1"/>
  </cols>
  <sheetData>
    <row r="1" spans="1:10" ht="16.5" thickBot="1" x14ac:dyDescent="0.3">
      <c r="A1" s="31" t="s">
        <v>48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6.5" thickBot="1" x14ac:dyDescent="0.3">
      <c r="A2" s="1" t="s">
        <v>0</v>
      </c>
      <c r="B2" s="1" t="s">
        <v>1</v>
      </c>
      <c r="C2" s="15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15.75" thickBot="1" x14ac:dyDescent="0.3">
      <c r="A3" s="23">
        <v>1</v>
      </c>
      <c r="B3" s="41" t="s">
        <v>10</v>
      </c>
      <c r="C3" s="24" t="s">
        <v>20</v>
      </c>
      <c r="D3" s="25" t="s">
        <v>21</v>
      </c>
      <c r="E3" s="26" t="s">
        <v>18</v>
      </c>
      <c r="F3" s="26" t="s">
        <v>26</v>
      </c>
      <c r="G3" s="27" t="s">
        <v>41</v>
      </c>
      <c r="H3" s="26" t="s">
        <v>29</v>
      </c>
      <c r="I3" s="28">
        <v>5</v>
      </c>
      <c r="J3" s="29">
        <f>I3*85</f>
        <v>425</v>
      </c>
    </row>
    <row r="4" spans="1:10" ht="15.75" thickBot="1" x14ac:dyDescent="0.3">
      <c r="A4" s="4">
        <f>A3+1</f>
        <v>2</v>
      </c>
      <c r="B4" s="41"/>
      <c r="C4" s="18" t="s">
        <v>22</v>
      </c>
      <c r="D4" s="5" t="s">
        <v>23</v>
      </c>
      <c r="E4" s="19" t="s">
        <v>12</v>
      </c>
      <c r="F4" s="19" t="s">
        <v>27</v>
      </c>
      <c r="G4" s="7" t="s">
        <v>42</v>
      </c>
      <c r="H4" s="19" t="s">
        <v>30</v>
      </c>
      <c r="I4" s="20">
        <v>5</v>
      </c>
      <c r="J4" s="29">
        <f t="shared" ref="J4:J8" si="0">I4*85</f>
        <v>425</v>
      </c>
    </row>
    <row r="5" spans="1:10" ht="15.75" thickBot="1" x14ac:dyDescent="0.3">
      <c r="A5" s="4">
        <f t="shared" ref="A5:A8" si="1">A4+1</f>
        <v>3</v>
      </c>
      <c r="B5" s="42"/>
      <c r="C5" s="18" t="s">
        <v>24</v>
      </c>
      <c r="D5" s="5" t="s">
        <v>25</v>
      </c>
      <c r="E5" s="19" t="s">
        <v>18</v>
      </c>
      <c r="F5" s="19" t="s">
        <v>28</v>
      </c>
      <c r="G5" s="7" t="s">
        <v>41</v>
      </c>
      <c r="H5" s="19" t="s">
        <v>11</v>
      </c>
      <c r="I5" s="20">
        <v>5</v>
      </c>
      <c r="J5" s="29">
        <f t="shared" si="0"/>
        <v>425</v>
      </c>
    </row>
    <row r="6" spans="1:10" ht="16.5" thickBot="1" x14ac:dyDescent="0.3">
      <c r="A6" s="4">
        <f t="shared" si="1"/>
        <v>4</v>
      </c>
      <c r="B6" s="16" t="s">
        <v>13</v>
      </c>
      <c r="C6" s="18" t="s">
        <v>31</v>
      </c>
      <c r="D6" s="5" t="s">
        <v>32</v>
      </c>
      <c r="E6" s="6" t="s">
        <v>37</v>
      </c>
      <c r="F6" s="19" t="s">
        <v>33</v>
      </c>
      <c r="G6" s="7" t="s">
        <v>43</v>
      </c>
      <c r="H6" s="6" t="s">
        <v>46</v>
      </c>
      <c r="I6" s="8">
        <v>5</v>
      </c>
      <c r="J6" s="29">
        <f t="shared" si="0"/>
        <v>425</v>
      </c>
    </row>
    <row r="7" spans="1:10" ht="15.75" thickBot="1" x14ac:dyDescent="0.3">
      <c r="A7" s="4">
        <f t="shared" si="1"/>
        <v>5</v>
      </c>
      <c r="B7" s="43" t="s">
        <v>40</v>
      </c>
      <c r="C7" s="18" t="s">
        <v>34</v>
      </c>
      <c r="D7" s="5" t="s">
        <v>14</v>
      </c>
      <c r="E7" s="6" t="s">
        <v>37</v>
      </c>
      <c r="F7" s="19" t="s">
        <v>38</v>
      </c>
      <c r="G7" s="7" t="s">
        <v>44</v>
      </c>
      <c r="H7" s="6" t="s">
        <v>46</v>
      </c>
      <c r="I7" s="9">
        <v>1</v>
      </c>
      <c r="J7" s="29">
        <f t="shared" si="0"/>
        <v>85</v>
      </c>
    </row>
    <row r="8" spans="1:10" ht="15.75" thickBot="1" x14ac:dyDescent="0.3">
      <c r="A8" s="4">
        <f t="shared" si="1"/>
        <v>6</v>
      </c>
      <c r="B8" s="42"/>
      <c r="C8" s="21" t="s">
        <v>35</v>
      </c>
      <c r="D8" s="10" t="s">
        <v>36</v>
      </c>
      <c r="E8" s="11" t="s">
        <v>37</v>
      </c>
      <c r="F8" s="22" t="s">
        <v>39</v>
      </c>
      <c r="G8" s="12" t="s">
        <v>45</v>
      </c>
      <c r="H8" s="11" t="s">
        <v>46</v>
      </c>
      <c r="I8" s="13">
        <v>1</v>
      </c>
      <c r="J8" s="30">
        <f t="shared" si="0"/>
        <v>85</v>
      </c>
    </row>
    <row r="23" spans="7:7" x14ac:dyDescent="0.25">
      <c r="G23" t="s">
        <v>47</v>
      </c>
    </row>
    <row r="40" ht="15.75" customHeight="1" x14ac:dyDescent="0.25"/>
    <row r="48" ht="15.75" customHeight="1" x14ac:dyDescent="0.25"/>
    <row r="53" spans="2:10" ht="15.75" thickBot="1" x14ac:dyDescent="0.3">
      <c r="B53" s="3"/>
      <c r="C53" s="3"/>
      <c r="D53" s="3"/>
      <c r="E53" s="3"/>
      <c r="F53" s="17"/>
      <c r="G53" s="3"/>
      <c r="H53" s="17"/>
      <c r="I53" s="36" t="s">
        <v>17</v>
      </c>
      <c r="J53" s="37"/>
    </row>
    <row r="54" spans="2:10" ht="19.5" thickBot="1" x14ac:dyDescent="0.35">
      <c r="C54" s="14" t="s">
        <v>15</v>
      </c>
      <c r="E54" s="2"/>
    </row>
    <row r="55" spans="2:10" x14ac:dyDescent="0.25">
      <c r="C55" s="38" t="s">
        <v>19</v>
      </c>
      <c r="D55" s="39"/>
      <c r="E55" s="40"/>
    </row>
    <row r="56" spans="2:10" ht="15.75" thickBot="1" x14ac:dyDescent="0.3">
      <c r="C56" s="33" t="s">
        <v>16</v>
      </c>
      <c r="D56" s="34"/>
      <c r="E56" s="35"/>
    </row>
  </sheetData>
  <mergeCells count="6">
    <mergeCell ref="A1:J1"/>
    <mergeCell ref="C56:E56"/>
    <mergeCell ref="I53:J53"/>
    <mergeCell ref="C55:E55"/>
    <mergeCell ref="B3:B5"/>
    <mergeCell ref="B7:B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eSpark Group</cp:lastModifiedBy>
  <dcterms:created xsi:type="dcterms:W3CDTF">2020-10-13T11:47:55Z</dcterms:created>
  <dcterms:modified xsi:type="dcterms:W3CDTF">2020-11-26T05:43:15Z</dcterms:modified>
</cp:coreProperties>
</file>