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park Group\Desktop\Final Core Files\John W. TaskOne - Final\_Deliverable\BOM\"/>
    </mc:Choice>
  </mc:AlternateContent>
  <bookViews>
    <workbookView xWindow="0" yWindow="0" windowWidth="20490" windowHeight="7770"/>
  </bookViews>
  <sheets>
    <sheet name="John Wollam" sheetId="1" r:id="rId1"/>
  </sheets>
  <definedNames>
    <definedName name="_xlnm.Print_Area" localSheetId="0">'John Wollam'!$B$1:$J$31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1" l="1"/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7" i="1"/>
  <c r="J28" i="1"/>
  <c r="J29" i="1"/>
  <c r="J30" i="1"/>
  <c r="J31" i="1"/>
  <c r="J4" i="1"/>
</calcChain>
</file>

<file path=xl/sharedStrings.xml><?xml version="1.0" encoding="utf-8"?>
<sst xmlns="http://schemas.openxmlformats.org/spreadsheetml/2006/main" count="188" uniqueCount="148">
  <si>
    <t>Description</t>
  </si>
  <si>
    <t>Designator</t>
  </si>
  <si>
    <t>Quantity</t>
  </si>
  <si>
    <t>Manufacturer Part Number</t>
  </si>
  <si>
    <t>0.1uF</t>
  </si>
  <si>
    <t>CAP CER 0.1UF 50V Y5V 0603</t>
  </si>
  <si>
    <t>C1, C2, C3, C6, C9, C10</t>
  </si>
  <si>
    <t>Yageo</t>
  </si>
  <si>
    <t>CC0603ZRY5V9BB104</t>
  </si>
  <si>
    <t>10000pF</t>
  </si>
  <si>
    <t>CAP CER 10000PF 50V X7R 0603</t>
  </si>
  <si>
    <t>C8</t>
  </si>
  <si>
    <t>CC0603KRX7R9BB103</t>
  </si>
  <si>
    <t>100K</t>
  </si>
  <si>
    <t>RES SMD 100K OHM 0.1% 1/10W 0603</t>
  </si>
  <si>
    <t>RT0603BRD07100KL</t>
  </si>
  <si>
    <t>R1, R2</t>
  </si>
  <si>
    <t>1uF</t>
  </si>
  <si>
    <t>CAP CER 1UF 50V X7R 0603</t>
  </si>
  <si>
    <t>C7, C13</t>
  </si>
  <si>
    <t>Taiyo Yuden</t>
  </si>
  <si>
    <t>UMK107AB7105KA-T</t>
  </si>
  <si>
    <t>20K</t>
  </si>
  <si>
    <t>RES SMD 20K OHM 1% 1/10W 0603</t>
  </si>
  <si>
    <t>R6, R7, R8, R9, R10, R11, R12, R13, R14, R15, R17</t>
  </si>
  <si>
    <t>RC0603FR-0720KL</t>
  </si>
  <si>
    <t>20pF</t>
  </si>
  <si>
    <t>CAP CER 20PF 50V C0G/NPO 0603</t>
  </si>
  <si>
    <t>C4, C5</t>
  </si>
  <si>
    <t>CC0603JRNPO9BN200</t>
  </si>
  <si>
    <t>4.7uF</t>
  </si>
  <si>
    <t>CAP CER 4.7UF 25V X5R 0603</t>
  </si>
  <si>
    <t>Murata</t>
  </si>
  <si>
    <t>GRM188R61E475KE11D</t>
  </si>
  <si>
    <t>50K</t>
  </si>
  <si>
    <t>RES SMD 50K OHM 0.1% 0.15W 0603</t>
  </si>
  <si>
    <t>Vishay Dale Thin Film</t>
  </si>
  <si>
    <t>PNM0603E5002BST5</t>
  </si>
  <si>
    <t>CRYSTAL 8.0000MHZ 18PF SMD</t>
  </si>
  <si>
    <t>X1</t>
  </si>
  <si>
    <t>J3</t>
  </si>
  <si>
    <t>DMP2045U-7</t>
  </si>
  <si>
    <t>LDL1117S33R</t>
  </si>
  <si>
    <t>IC REG LINEAR 3.3V 1.2A SOT223</t>
  </si>
  <si>
    <t>U2</t>
  </si>
  <si>
    <t>STMicroelectronics</t>
  </si>
  <si>
    <t>MBR120VLSFT3G</t>
  </si>
  <si>
    <t>DIODE SCHOTTKY 20V 1A SOD123FL</t>
  </si>
  <si>
    <t>ON Semiconductor</t>
  </si>
  <si>
    <t>USB1</t>
  </si>
  <si>
    <t>OSTTC102162</t>
  </si>
  <si>
    <t>TERM BLK 10P SIDE ENT 5.08MM PCB</t>
  </si>
  <si>
    <t>J1</t>
  </si>
  <si>
    <t>On-Shore Technology</t>
  </si>
  <si>
    <t>J4</t>
  </si>
  <si>
    <t>STM32F070C6T6TR</t>
  </si>
  <si>
    <t>IC MCU 32BIT 32KB FLASH 48LQFP</t>
  </si>
  <si>
    <t>U1</t>
  </si>
  <si>
    <t>4-PIN SMT</t>
  </si>
  <si>
    <t>TC2030-IDC</t>
  </si>
  <si>
    <t>CABLE ADAPTER 6 POS</t>
  </si>
  <si>
    <t>J2</t>
  </si>
  <si>
    <t>Tag-Connect</t>
  </si>
  <si>
    <t>Capacitor</t>
  </si>
  <si>
    <t>Resistor</t>
  </si>
  <si>
    <t>Crystal</t>
  </si>
  <si>
    <t>Diode</t>
  </si>
  <si>
    <t>Transistor</t>
  </si>
  <si>
    <t>IC</t>
  </si>
  <si>
    <t>Connector</t>
  </si>
  <si>
    <t>Switch</t>
  </si>
  <si>
    <t>Value</t>
  </si>
  <si>
    <t>Footprint(Package)</t>
  </si>
  <si>
    <t>Manufacturer</t>
  </si>
  <si>
    <t>10K</t>
  </si>
  <si>
    <t>0603 (1608 Metric)</t>
  </si>
  <si>
    <t>8.000MHz</t>
  </si>
  <si>
    <t>Custom(SMD)</t>
  </si>
  <si>
    <t>SOD-123F</t>
  </si>
  <si>
    <t>---</t>
  </si>
  <si>
    <t>Diodes Incorporated</t>
  </si>
  <si>
    <t>SOT-23</t>
  </si>
  <si>
    <t>48LQFP</t>
  </si>
  <si>
    <t>MOSFET P-CHANNEL 24V SOT-23</t>
  </si>
  <si>
    <t>SOT-223</t>
  </si>
  <si>
    <t>USB_Micro_B(SMD)</t>
  </si>
  <si>
    <t xml:space="preserve">Through Hole (5.08mm) </t>
  </si>
  <si>
    <t>Sullins Connector Solutions</t>
  </si>
  <si>
    <t xml:space="preserve">Through Hole (2.54mm) </t>
  </si>
  <si>
    <t>Total Quantity</t>
  </si>
  <si>
    <t>R19</t>
  </si>
  <si>
    <t>RES SMD 56K OHM 1% 1/10W 0603</t>
  </si>
  <si>
    <t>RC0603FR-0756KL</t>
  </si>
  <si>
    <t>56K</t>
  </si>
  <si>
    <t>R3, R5</t>
  </si>
  <si>
    <t>RES SMD 10K OHM 1% 1/10W 0603</t>
  </si>
  <si>
    <t>RC0603FR-0710KL</t>
  </si>
  <si>
    <t>D1, D2</t>
  </si>
  <si>
    <t>Q1, Q3</t>
  </si>
  <si>
    <t>Q2, Q4, Q5, Q6, Q7, Q8</t>
  </si>
  <si>
    <t>MOSFET N-CH 50V 200MA SOT-23</t>
  </si>
  <si>
    <t>SOT-23-3</t>
  </si>
  <si>
    <t>BSS138LT1G</t>
  </si>
  <si>
    <t>SWITCH TACTILE SPST-NO 0.05A 12V</t>
  </si>
  <si>
    <t>TL3301NF160QG/TR</t>
  </si>
  <si>
    <t>E-Switch</t>
  </si>
  <si>
    <t>J5</t>
  </si>
  <si>
    <t>10 Pin JTAG Header for ICE programmer (1.27mm Pitch)</t>
  </si>
  <si>
    <t xml:space="preserve">Through Hole (1.27mm) </t>
  </si>
  <si>
    <t>20021111-00010T4LF</t>
  </si>
  <si>
    <t>Amphenol FCI</t>
  </si>
  <si>
    <t>J6</t>
  </si>
  <si>
    <t>P1</t>
  </si>
  <si>
    <t>Header, 3-Pin</t>
  </si>
  <si>
    <t>M20-9770346</t>
  </si>
  <si>
    <t>Harwin</t>
  </si>
  <si>
    <t>Custom</t>
  </si>
  <si>
    <t>SB1</t>
  </si>
  <si>
    <t>Solder Bridge ON</t>
  </si>
  <si>
    <t>S. No.</t>
  </si>
  <si>
    <t>Battery/Coin Cell</t>
  </si>
  <si>
    <t>BATTERY LITHIUM 3V CR2032</t>
  </si>
  <si>
    <t>CR2032</t>
  </si>
  <si>
    <t xml:space="preserve"> ZEUS Battery Products</t>
  </si>
  <si>
    <t>CONN HDR 16POS 0.1 TIN PCB</t>
  </si>
  <si>
    <t>PPTC161LFBN-RC</t>
  </si>
  <si>
    <t>SW1</t>
  </si>
  <si>
    <t>C11, C14</t>
  </si>
  <si>
    <t>R4</t>
  </si>
  <si>
    <t>3.6R</t>
  </si>
  <si>
    <t>CRCW12063R60FKEA</t>
  </si>
  <si>
    <t>Vishay Dale</t>
  </si>
  <si>
    <t>RES SMD 3.6 OHM 1% 1/4W 1206</t>
  </si>
  <si>
    <t>Component Type</t>
  </si>
  <si>
    <t>R18, R20, R21, R22, R23, R24, R25, R26, R27, R28, R29, R30, R31</t>
  </si>
  <si>
    <t>1206 (3216 Metric)</t>
  </si>
  <si>
    <t xml:space="preserve"> TXC Corp</t>
  </si>
  <si>
    <t xml:space="preserve">7B08070001
</t>
  </si>
  <si>
    <t>CONN USB MICRO B RECPT SMT R/A</t>
  </si>
  <si>
    <t>10118192-0001LF</t>
  </si>
  <si>
    <t xml:space="preserve"> Amphenol ICC</t>
  </si>
  <si>
    <t>DC Power Receptacle Jack 2.5A 2.5mm 6.5mm SMD AC/DC Power Plugs &amp; Receptacles RoHS</t>
  </si>
  <si>
    <t xml:space="preserve">DC-005-5A-2.5-SMT
</t>
  </si>
  <si>
    <t>XKB Connectivity</t>
  </si>
  <si>
    <t>BATTERY HOLDER COIN 20MM SMD</t>
  </si>
  <si>
    <t>1060TR</t>
  </si>
  <si>
    <t>Keystone Electronics</t>
  </si>
  <si>
    <t>Bill Of Material (BOM) for John Wollam (Task-1)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</si>
</sst>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trike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88">
    <xf numFmtId="0" fontId="0" fillId="0" borderId="0" xfId="0"/>
    <xf numFmtId="0" fontId="7" fillId="2" borderId="1" xfId="0" quotePrefix="1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4" xfId="0" quotePrefix="1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/>
    <xf numFmtId="0" fontId="3" fillId="0" borderId="3" xfId="0" quotePrefix="1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center" vertical="center"/>
    </xf>
    <xf numFmtId="0" fontId="0" fillId="0" borderId="0" xfId="0" applyFill="1"/>
    <xf numFmtId="0" fontId="3" fillId="0" borderId="1" xfId="0" quotePrefix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4" xfId="0" quotePrefix="1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2" xfId="0" quotePrefix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3" fillId="0" borderId="3" xfId="0" quotePrefix="1" applyFon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  <xf numFmtId="0" fontId="3" fillId="0" borderId="4" xfId="0" quotePrefix="1" applyFont="1" applyFill="1" applyBorder="1" applyAlignment="1">
      <alignment horizontal="center" vertical="center"/>
    </xf>
    <xf numFmtId="0" fontId="3" fillId="0" borderId="2" xfId="0" quotePrefix="1" applyFont="1" applyFill="1" applyBorder="1" applyAlignment="1">
      <alignment horizontal="center" vertical="center"/>
    </xf>
    <xf numFmtId="49" fontId="3" fillId="0" borderId="1" xfId="0" quotePrefix="1" applyNumberFormat="1" applyFont="1" applyFill="1" applyBorder="1" applyAlignment="1">
      <alignment horizontal="center" vertical="center"/>
    </xf>
    <xf numFmtId="49" fontId="7" fillId="2" borderId="4" xfId="0" quotePrefix="1" applyNumberFormat="1" applyFont="1" applyFill="1" applyBorder="1" applyAlignment="1">
      <alignment horizontal="center" vertical="center"/>
    </xf>
    <xf numFmtId="49" fontId="3" fillId="0" borderId="3" xfId="0" quotePrefix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2" xfId="0" quotePrefix="1" applyNumberFormat="1" applyFont="1" applyFill="1" applyBorder="1" applyAlignment="1">
      <alignment horizontal="center" vertical="center"/>
    </xf>
    <xf numFmtId="49" fontId="8" fillId="0" borderId="2" xfId="0" quotePrefix="1" applyNumberFormat="1" applyFont="1" applyFill="1" applyBorder="1" applyAlignment="1">
      <alignment horizontal="center" vertical="center"/>
    </xf>
    <xf numFmtId="49" fontId="3" fillId="0" borderId="4" xfId="0" quotePrefix="1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7" fillId="2" borderId="1" xfId="0" quotePrefix="1" applyFon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center" vertical="center"/>
    </xf>
    <xf numFmtId="49" fontId="8" fillId="0" borderId="2" xfId="0" quotePrefix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3" xfId="1" quotePrefix="1" applyFont="1" applyFill="1" applyBorder="1" applyAlignment="1">
      <alignment horizontal="center" vertical="center"/>
    </xf>
    <xf numFmtId="0" fontId="3" fillId="0" borderId="1" xfId="1" quotePrefix="1" applyFont="1" applyFill="1" applyBorder="1" applyAlignment="1">
      <alignment horizontal="center" vertical="center"/>
    </xf>
    <xf numFmtId="0" fontId="3" fillId="0" borderId="4" xfId="1" quotePrefix="1" applyFont="1" applyFill="1" applyBorder="1" applyAlignment="1">
      <alignment horizontal="center" vertical="center"/>
    </xf>
    <xf numFmtId="0" fontId="3" fillId="0" borderId="2" xfId="1" quotePrefix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7" fillId="2" borderId="4" xfId="1" quotePrefix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3" borderId="1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3" fillId="0" borderId="17" xfId="0" quotePrefix="1" applyFont="1" applyFill="1" applyBorder="1" applyAlignment="1">
      <alignment vertical="center" wrapText="1"/>
    </xf>
    <xf numFmtId="0" fontId="3" fillId="0" borderId="18" xfId="0" quotePrefix="1" applyFont="1" applyFill="1" applyBorder="1" applyAlignment="1">
      <alignment vertical="center" wrapText="1"/>
    </xf>
    <xf numFmtId="0" fontId="3" fillId="0" borderId="19" xfId="0" quotePrefix="1" applyFont="1" applyFill="1" applyBorder="1" applyAlignment="1">
      <alignment vertical="center" wrapText="1"/>
    </xf>
    <xf numFmtId="0" fontId="7" fillId="2" borderId="18" xfId="0" quotePrefix="1" applyFont="1" applyFill="1" applyBorder="1" applyAlignment="1">
      <alignment vertical="center" wrapText="1"/>
    </xf>
    <xf numFmtId="0" fontId="2" fillId="0" borderId="1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4" xfId="0" quotePrefix="1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/>
    </xf>
    <xf numFmtId="0" fontId="3" fillId="0" borderId="15" xfId="0" quotePrefix="1" applyFont="1" applyFill="1" applyBorder="1" applyAlignment="1">
      <alignment vertical="center" wrapText="1"/>
    </xf>
    <xf numFmtId="49" fontId="0" fillId="0" borderId="4" xfId="0" applyNumberFormat="1" applyFill="1" applyBorder="1" applyAlignment="1">
      <alignment horizontal="center" vertical="center"/>
    </xf>
    <xf numFmtId="0" fontId="7" fillId="2" borderId="19" xfId="0" quotePrefix="1" applyFont="1" applyFill="1" applyBorder="1" applyAlignment="1">
      <alignment vertical="center" wrapText="1"/>
    </xf>
    <xf numFmtId="49" fontId="8" fillId="0" borderId="15" xfId="0" quotePrefix="1" applyNumberFormat="1" applyFont="1" applyFill="1" applyBorder="1" applyAlignment="1">
      <alignment vertical="center" wrapText="1"/>
    </xf>
    <xf numFmtId="0" fontId="3" fillId="0" borderId="28" xfId="0" quotePrefix="1" applyFont="1" applyFill="1" applyBorder="1" applyAlignment="1">
      <alignment vertical="center" wrapText="1"/>
    </xf>
    <xf numFmtId="0" fontId="3" fillId="0" borderId="7" xfId="0" quotePrefix="1" applyFont="1" applyFill="1" applyBorder="1" applyAlignment="1">
      <alignment vertical="center" wrapText="1"/>
    </xf>
    <xf numFmtId="0" fontId="3" fillId="0" borderId="7" xfId="0" quotePrefix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7" xfId="1" quotePrefix="1" applyFont="1" applyFill="1" applyBorder="1" applyAlignment="1">
      <alignment horizontal="center" vertical="center"/>
    </xf>
    <xf numFmtId="49" fontId="3" fillId="0" borderId="7" xfId="0" quotePrefix="1" applyNumberFormat="1" applyFont="1" applyFill="1" applyBorder="1" applyAlignment="1">
      <alignment horizontal="center" vertical="center"/>
    </xf>
    <xf numFmtId="0" fontId="3" fillId="0" borderId="29" xfId="0" quotePrefix="1" applyFont="1" applyFill="1" applyBorder="1" applyAlignment="1">
      <alignment vertical="center" wrapText="1"/>
    </xf>
    <xf numFmtId="0" fontId="3" fillId="0" borderId="27" xfId="0" quotePrefix="1" applyFont="1" applyFill="1" applyBorder="1" applyAlignment="1">
      <alignment vertical="center" wrapText="1"/>
    </xf>
    <xf numFmtId="0" fontId="3" fillId="0" borderId="27" xfId="0" quotePrefix="1" applyFont="1" applyFill="1" applyBorder="1" applyAlignment="1">
      <alignment horizontal="center" vertical="center"/>
    </xf>
    <xf numFmtId="0" fontId="3" fillId="0" borderId="27" xfId="1" quotePrefix="1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49" fontId="0" fillId="0" borderId="27" xfId="0" applyNumberFormat="1" applyFill="1" applyBorder="1" applyAlignment="1">
      <alignment horizontal="center" vertical="center"/>
    </xf>
    <xf numFmtId="0" fontId="0" fillId="0" borderId="1" xfId="0" quotePrefix="1" applyBorder="1" applyAlignment="1">
      <alignment vertical="center"/>
    </xf>
    <xf numFmtId="0" fontId="3" fillId="0" borderId="18" xfId="0" quotePrefix="1" applyFont="1" applyFill="1" applyBorder="1" applyAlignment="1">
      <alignment vertical="center"/>
    </xf>
    <xf numFmtId="0" fontId="3" fillId="0" borderId="18" xfId="0" quotePrefix="1" applyFont="1" applyBorder="1"/>
    <xf numFmtId="0" fontId="3" fillId="0" borderId="2" xfId="0" quotePrefix="1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abSelected="1" topLeftCell="B1" zoomScale="85" zoomScaleNormal="85" workbookViewId="0">
      <pane ySplit="2" topLeftCell="A17" activePane="bottomLeft" state="frozen"/>
      <selection pane="bottomLeft" activeCell="B32" sqref="A32:XFD37"/>
    </sheetView>
  </sheetViews>
  <sheetFormatPr defaultRowHeight="15" x14ac:dyDescent="0.25"/>
  <cols>
    <col min="1" max="1" width="6.85546875" customWidth="1"/>
    <col min="2" max="2" width="18" bestFit="1" customWidth="1"/>
    <col min="3" max="3" width="26.140625" bestFit="1" customWidth="1"/>
    <col min="4" max="4" width="32.42578125" customWidth="1"/>
    <col min="5" max="5" width="41.42578125" style="5" customWidth="1"/>
    <col min="6" max="6" width="28.42578125" style="24" bestFit="1" customWidth="1"/>
    <col min="7" max="7" width="31.140625" style="5" bestFit="1" customWidth="1"/>
    <col min="8" max="8" width="9.85546875" style="24" bestFit="1" customWidth="1"/>
    <col min="9" max="9" width="9.7109375" bestFit="1" customWidth="1"/>
    <col min="10" max="10" width="15.42578125" customWidth="1"/>
  </cols>
  <sheetData>
    <row r="1" spans="1:27" ht="15" customHeight="1" x14ac:dyDescent="0.25">
      <c r="A1" s="77" t="s">
        <v>147</v>
      </c>
      <c r="B1" s="78"/>
      <c r="C1" s="78"/>
      <c r="D1" s="78"/>
      <c r="E1" s="78"/>
      <c r="F1" s="78"/>
      <c r="G1" s="78"/>
      <c r="H1" s="78"/>
      <c r="I1" s="78"/>
      <c r="J1" s="78"/>
      <c r="K1" s="16"/>
      <c r="L1" s="1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9.5" thickBot="1" x14ac:dyDescent="0.3">
      <c r="A2" s="79"/>
      <c r="B2" s="80"/>
      <c r="C2" s="80"/>
      <c r="D2" s="80"/>
      <c r="E2" s="80"/>
      <c r="F2" s="80"/>
      <c r="G2" s="80"/>
      <c r="H2" s="80"/>
      <c r="I2" s="80"/>
      <c r="J2" s="80"/>
      <c r="K2" s="16"/>
      <c r="L2" s="1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6.5" thickBot="1" x14ac:dyDescent="0.3">
      <c r="A3" s="41" t="s">
        <v>119</v>
      </c>
      <c r="B3" s="42" t="s">
        <v>133</v>
      </c>
      <c r="C3" s="43" t="s">
        <v>1</v>
      </c>
      <c r="D3" s="44" t="s">
        <v>0</v>
      </c>
      <c r="E3" s="45" t="s">
        <v>72</v>
      </c>
      <c r="F3" s="44" t="s">
        <v>3</v>
      </c>
      <c r="G3" s="44" t="s">
        <v>73</v>
      </c>
      <c r="H3" s="44" t="s">
        <v>71</v>
      </c>
      <c r="I3" s="44" t="s">
        <v>2</v>
      </c>
      <c r="J3" s="44" t="s">
        <v>89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s="9" customFormat="1" ht="16.5" thickBot="1" x14ac:dyDescent="0.3">
      <c r="A4" s="46">
        <v>1</v>
      </c>
      <c r="B4" s="81" t="s">
        <v>63</v>
      </c>
      <c r="C4" s="48" t="s">
        <v>6</v>
      </c>
      <c r="D4" s="7" t="s">
        <v>5</v>
      </c>
      <c r="E4" s="17" t="s">
        <v>75</v>
      </c>
      <c r="F4" s="17" t="s">
        <v>8</v>
      </c>
      <c r="G4" s="34" t="s">
        <v>7</v>
      </c>
      <c r="H4" s="17" t="s">
        <v>4</v>
      </c>
      <c r="I4" s="8">
        <v>6</v>
      </c>
      <c r="J4" s="8">
        <f>I4*10</f>
        <v>60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spans="1:27" s="9" customFormat="1" ht="16.5" thickBot="1" x14ac:dyDescent="0.3">
      <c r="A5" s="46">
        <v>2</v>
      </c>
      <c r="B5" s="82"/>
      <c r="C5" s="49" t="s">
        <v>11</v>
      </c>
      <c r="D5" s="10" t="s">
        <v>10</v>
      </c>
      <c r="E5" s="18" t="s">
        <v>75</v>
      </c>
      <c r="F5" s="18" t="s">
        <v>12</v>
      </c>
      <c r="G5" s="35" t="s">
        <v>7</v>
      </c>
      <c r="H5" s="18" t="s">
        <v>9</v>
      </c>
      <c r="I5" s="11">
        <v>1</v>
      </c>
      <c r="J5" s="11">
        <f t="shared" ref="J5:J31" si="0">I5*10</f>
        <v>10</v>
      </c>
    </row>
    <row r="6" spans="1:27" s="9" customFormat="1" ht="16.5" thickBot="1" x14ac:dyDescent="0.3">
      <c r="A6" s="46">
        <v>3</v>
      </c>
      <c r="B6" s="82"/>
      <c r="C6" s="49" t="s">
        <v>19</v>
      </c>
      <c r="D6" s="10" t="s">
        <v>18</v>
      </c>
      <c r="E6" s="18" t="s">
        <v>75</v>
      </c>
      <c r="F6" s="18" t="s">
        <v>21</v>
      </c>
      <c r="G6" s="35" t="s">
        <v>20</v>
      </c>
      <c r="H6" s="18" t="s">
        <v>17</v>
      </c>
      <c r="I6" s="11">
        <v>2</v>
      </c>
      <c r="J6" s="11">
        <f t="shared" si="0"/>
        <v>20</v>
      </c>
    </row>
    <row r="7" spans="1:27" s="9" customFormat="1" ht="16.5" thickBot="1" x14ac:dyDescent="0.3">
      <c r="A7" s="46">
        <v>4</v>
      </c>
      <c r="B7" s="82"/>
      <c r="C7" s="49" t="s">
        <v>127</v>
      </c>
      <c r="D7" s="10" t="s">
        <v>31</v>
      </c>
      <c r="E7" s="18" t="s">
        <v>75</v>
      </c>
      <c r="F7" s="18" t="s">
        <v>33</v>
      </c>
      <c r="G7" s="35" t="s">
        <v>32</v>
      </c>
      <c r="H7" s="18" t="s">
        <v>30</v>
      </c>
      <c r="I7" s="11">
        <v>2</v>
      </c>
      <c r="J7" s="11">
        <f t="shared" si="0"/>
        <v>20</v>
      </c>
    </row>
    <row r="8" spans="1:27" s="9" customFormat="1" ht="16.5" thickBot="1" x14ac:dyDescent="0.3">
      <c r="A8" s="46">
        <v>5</v>
      </c>
      <c r="B8" s="83"/>
      <c r="C8" s="50" t="s">
        <v>28</v>
      </c>
      <c r="D8" s="12" t="s">
        <v>27</v>
      </c>
      <c r="E8" s="19" t="s">
        <v>75</v>
      </c>
      <c r="F8" s="19" t="s">
        <v>29</v>
      </c>
      <c r="G8" s="36" t="s">
        <v>7</v>
      </c>
      <c r="H8" s="19" t="s">
        <v>26</v>
      </c>
      <c r="I8" s="13">
        <v>2</v>
      </c>
      <c r="J8" s="13">
        <f t="shared" si="0"/>
        <v>20</v>
      </c>
    </row>
    <row r="9" spans="1:27" s="9" customFormat="1" ht="30.75" thickBot="1" x14ac:dyDescent="0.3">
      <c r="A9" s="46">
        <v>6</v>
      </c>
      <c r="B9" s="81" t="s">
        <v>64</v>
      </c>
      <c r="C9" s="48" t="s">
        <v>94</v>
      </c>
      <c r="D9" s="7" t="s">
        <v>14</v>
      </c>
      <c r="E9" s="17" t="s">
        <v>75</v>
      </c>
      <c r="F9" s="17" t="s">
        <v>15</v>
      </c>
      <c r="G9" s="34" t="s">
        <v>7</v>
      </c>
      <c r="H9" s="17" t="s">
        <v>13</v>
      </c>
      <c r="I9" s="8">
        <v>2</v>
      </c>
      <c r="J9" s="8">
        <f t="shared" si="0"/>
        <v>20</v>
      </c>
    </row>
    <row r="10" spans="1:27" s="9" customFormat="1" ht="30.75" thickBot="1" x14ac:dyDescent="0.3">
      <c r="A10" s="46">
        <v>7</v>
      </c>
      <c r="B10" s="82"/>
      <c r="C10" s="49" t="s">
        <v>24</v>
      </c>
      <c r="D10" s="10" t="s">
        <v>23</v>
      </c>
      <c r="E10" s="18" t="s">
        <v>75</v>
      </c>
      <c r="F10" s="18" t="s">
        <v>25</v>
      </c>
      <c r="G10" s="35" t="s">
        <v>7</v>
      </c>
      <c r="H10" s="18" t="s">
        <v>22</v>
      </c>
      <c r="I10" s="11">
        <v>11</v>
      </c>
      <c r="J10" s="11">
        <f t="shared" si="0"/>
        <v>110</v>
      </c>
    </row>
    <row r="11" spans="1:27" s="9" customFormat="1" ht="45.75" thickBot="1" x14ac:dyDescent="0.3">
      <c r="A11" s="46">
        <v>8</v>
      </c>
      <c r="B11" s="82"/>
      <c r="C11" s="49" t="s">
        <v>134</v>
      </c>
      <c r="D11" s="10" t="s">
        <v>95</v>
      </c>
      <c r="E11" s="18" t="s">
        <v>75</v>
      </c>
      <c r="F11" s="18" t="s">
        <v>96</v>
      </c>
      <c r="G11" s="35" t="s">
        <v>7</v>
      </c>
      <c r="H11" s="18" t="s">
        <v>74</v>
      </c>
      <c r="I11" s="11">
        <v>13</v>
      </c>
      <c r="J11" s="11">
        <f t="shared" si="0"/>
        <v>130</v>
      </c>
    </row>
    <row r="12" spans="1:27" s="9" customFormat="1" ht="30.75" thickBot="1" x14ac:dyDescent="0.3">
      <c r="A12" s="46">
        <v>10</v>
      </c>
      <c r="B12" s="82"/>
      <c r="C12" s="49" t="s">
        <v>16</v>
      </c>
      <c r="D12" s="10" t="s">
        <v>35</v>
      </c>
      <c r="E12" s="18" t="s">
        <v>75</v>
      </c>
      <c r="F12" s="18" t="s">
        <v>37</v>
      </c>
      <c r="G12" s="35" t="s">
        <v>36</v>
      </c>
      <c r="H12" s="18" t="s">
        <v>34</v>
      </c>
      <c r="I12" s="11">
        <v>2</v>
      </c>
      <c r="J12" s="11">
        <f t="shared" si="0"/>
        <v>20</v>
      </c>
    </row>
    <row r="13" spans="1:27" s="9" customFormat="1" ht="16.5" thickBot="1" x14ac:dyDescent="0.3">
      <c r="A13" s="46">
        <v>11</v>
      </c>
      <c r="B13" s="85"/>
      <c r="C13" s="49" t="s">
        <v>128</v>
      </c>
      <c r="D13" s="10" t="s">
        <v>132</v>
      </c>
      <c r="E13" s="18" t="s">
        <v>135</v>
      </c>
      <c r="F13" s="18" t="s">
        <v>130</v>
      </c>
      <c r="G13" s="35" t="s">
        <v>131</v>
      </c>
      <c r="H13" s="18" t="s">
        <v>129</v>
      </c>
      <c r="I13" s="11">
        <v>1</v>
      </c>
      <c r="J13" s="11">
        <f t="shared" si="0"/>
        <v>10</v>
      </c>
    </row>
    <row r="14" spans="1:27" s="9" customFormat="1" ht="16.5" thickBot="1" x14ac:dyDescent="0.3">
      <c r="A14" s="46">
        <v>12</v>
      </c>
      <c r="B14" s="83"/>
      <c r="C14" s="50" t="s">
        <v>90</v>
      </c>
      <c r="D14" s="12" t="s">
        <v>91</v>
      </c>
      <c r="E14" s="55" t="s">
        <v>75</v>
      </c>
      <c r="F14" s="19" t="s">
        <v>92</v>
      </c>
      <c r="G14" s="36" t="s">
        <v>7</v>
      </c>
      <c r="H14" s="19" t="s">
        <v>93</v>
      </c>
      <c r="I14" s="13">
        <v>1</v>
      </c>
      <c r="J14" s="13">
        <f t="shared" si="0"/>
        <v>10</v>
      </c>
    </row>
    <row r="15" spans="1:27" s="9" customFormat="1" ht="16.5" thickBot="1" x14ac:dyDescent="0.3">
      <c r="A15" s="47">
        <v>14</v>
      </c>
      <c r="B15" s="52" t="s">
        <v>65</v>
      </c>
      <c r="C15" s="57" t="s">
        <v>39</v>
      </c>
      <c r="D15" s="14" t="s">
        <v>38</v>
      </c>
      <c r="E15" s="20" t="s">
        <v>77</v>
      </c>
      <c r="F15" s="15" t="s">
        <v>137</v>
      </c>
      <c r="G15" s="37" t="s">
        <v>136</v>
      </c>
      <c r="H15" s="20" t="s">
        <v>76</v>
      </c>
      <c r="I15" s="15">
        <v>1</v>
      </c>
      <c r="J15" s="15">
        <f t="shared" si="0"/>
        <v>10</v>
      </c>
    </row>
    <row r="16" spans="1:27" s="9" customFormat="1" ht="16.5" thickBot="1" x14ac:dyDescent="0.3">
      <c r="A16" s="47">
        <v>15</v>
      </c>
      <c r="B16" s="52" t="s">
        <v>66</v>
      </c>
      <c r="C16" s="57" t="s">
        <v>97</v>
      </c>
      <c r="D16" s="14" t="s">
        <v>47</v>
      </c>
      <c r="E16" s="20" t="s">
        <v>78</v>
      </c>
      <c r="F16" s="20" t="s">
        <v>46</v>
      </c>
      <c r="G16" s="37" t="s">
        <v>48</v>
      </c>
      <c r="H16" s="25" t="s">
        <v>79</v>
      </c>
      <c r="I16" s="15">
        <v>2</v>
      </c>
      <c r="J16" s="15">
        <f t="shared" si="0"/>
        <v>20</v>
      </c>
    </row>
    <row r="17" spans="1:10" s="9" customFormat="1" ht="16.5" thickBot="1" x14ac:dyDescent="0.3">
      <c r="A17" s="56">
        <v>16</v>
      </c>
      <c r="B17" s="86" t="s">
        <v>67</v>
      </c>
      <c r="C17" s="48" t="s">
        <v>99</v>
      </c>
      <c r="D17" s="7" t="s">
        <v>100</v>
      </c>
      <c r="E17" s="17" t="s">
        <v>101</v>
      </c>
      <c r="F17" s="17" t="s">
        <v>102</v>
      </c>
      <c r="G17" s="34" t="s">
        <v>48</v>
      </c>
      <c r="H17" s="23" t="s">
        <v>79</v>
      </c>
      <c r="I17" s="8">
        <v>6</v>
      </c>
      <c r="J17" s="8">
        <f t="shared" si="0"/>
        <v>60</v>
      </c>
    </row>
    <row r="18" spans="1:10" s="9" customFormat="1" ht="16.5" thickBot="1" x14ac:dyDescent="0.3">
      <c r="A18" s="46">
        <v>17</v>
      </c>
      <c r="B18" s="87"/>
      <c r="C18" s="50" t="s">
        <v>98</v>
      </c>
      <c r="D18" s="12" t="s">
        <v>83</v>
      </c>
      <c r="E18" s="19" t="s">
        <v>81</v>
      </c>
      <c r="F18" s="19" t="s">
        <v>41</v>
      </c>
      <c r="G18" s="36" t="s">
        <v>80</v>
      </c>
      <c r="H18" s="58" t="s">
        <v>79</v>
      </c>
      <c r="I18" s="13">
        <v>2</v>
      </c>
      <c r="J18" s="13">
        <f t="shared" si="0"/>
        <v>20</v>
      </c>
    </row>
    <row r="19" spans="1:10" s="9" customFormat="1" ht="16.5" thickBot="1" x14ac:dyDescent="0.3">
      <c r="A19" s="46">
        <v>18</v>
      </c>
      <c r="B19" s="84" t="s">
        <v>68</v>
      </c>
      <c r="C19" s="67" t="s">
        <v>57</v>
      </c>
      <c r="D19" s="68" t="s">
        <v>56</v>
      </c>
      <c r="E19" s="69" t="s">
        <v>82</v>
      </c>
      <c r="F19" s="69" t="s">
        <v>55</v>
      </c>
      <c r="G19" s="70" t="s">
        <v>45</v>
      </c>
      <c r="H19" s="72" t="s">
        <v>79</v>
      </c>
      <c r="I19" s="71">
        <v>1</v>
      </c>
      <c r="J19" s="71">
        <f t="shared" si="0"/>
        <v>10</v>
      </c>
    </row>
    <row r="20" spans="1:10" s="9" customFormat="1" ht="16.5" thickBot="1" x14ac:dyDescent="0.3">
      <c r="A20" s="46">
        <v>19</v>
      </c>
      <c r="B20" s="83"/>
      <c r="C20" s="50" t="s">
        <v>44</v>
      </c>
      <c r="D20" s="12" t="s">
        <v>43</v>
      </c>
      <c r="E20" s="19" t="s">
        <v>84</v>
      </c>
      <c r="F20" s="19" t="s">
        <v>42</v>
      </c>
      <c r="G20" s="36" t="s">
        <v>45</v>
      </c>
      <c r="H20" s="27" t="s">
        <v>79</v>
      </c>
      <c r="I20" s="13">
        <v>1</v>
      </c>
      <c r="J20" s="13">
        <f t="shared" si="0"/>
        <v>10</v>
      </c>
    </row>
    <row r="21" spans="1:10" s="9" customFormat="1" ht="16.5" thickBot="1" x14ac:dyDescent="0.3">
      <c r="A21" s="46">
        <v>20</v>
      </c>
      <c r="B21" s="81" t="s">
        <v>69</v>
      </c>
      <c r="C21" s="48" t="s">
        <v>49</v>
      </c>
      <c r="D21" s="73" t="s">
        <v>138</v>
      </c>
      <c r="E21" s="17" t="s">
        <v>85</v>
      </c>
      <c r="F21" s="17" t="s">
        <v>139</v>
      </c>
      <c r="G21" s="34" t="s">
        <v>140</v>
      </c>
      <c r="H21" s="23" t="s">
        <v>79</v>
      </c>
      <c r="I21" s="8">
        <v>1</v>
      </c>
      <c r="J21" s="8">
        <f t="shared" si="0"/>
        <v>10</v>
      </c>
    </row>
    <row r="22" spans="1:10" s="9" customFormat="1" ht="16.5" thickBot="1" x14ac:dyDescent="0.3">
      <c r="A22" s="46">
        <v>21</v>
      </c>
      <c r="B22" s="84"/>
      <c r="C22" s="49" t="s">
        <v>112</v>
      </c>
      <c r="D22" s="10" t="s">
        <v>113</v>
      </c>
      <c r="E22" s="18" t="s">
        <v>88</v>
      </c>
      <c r="F22" s="18" t="s">
        <v>114</v>
      </c>
      <c r="G22" s="35" t="s">
        <v>115</v>
      </c>
      <c r="H22" s="21" t="s">
        <v>79</v>
      </c>
      <c r="I22" s="11">
        <v>1</v>
      </c>
      <c r="J22" s="11">
        <f t="shared" si="0"/>
        <v>10</v>
      </c>
    </row>
    <row r="23" spans="1:10" s="9" customFormat="1" ht="30.75" thickBot="1" x14ac:dyDescent="0.3">
      <c r="A23" s="46">
        <v>22</v>
      </c>
      <c r="B23" s="82"/>
      <c r="C23" s="49" t="s">
        <v>52</v>
      </c>
      <c r="D23" s="10" t="s">
        <v>51</v>
      </c>
      <c r="E23" s="18" t="s">
        <v>86</v>
      </c>
      <c r="F23" s="18" t="s">
        <v>50</v>
      </c>
      <c r="G23" s="35" t="s">
        <v>53</v>
      </c>
      <c r="H23" s="21" t="s">
        <v>79</v>
      </c>
      <c r="I23" s="11">
        <v>1</v>
      </c>
      <c r="J23" s="11">
        <f t="shared" si="0"/>
        <v>10</v>
      </c>
    </row>
    <row r="24" spans="1:10" s="9" customFormat="1" ht="16.5" thickBot="1" x14ac:dyDescent="0.3">
      <c r="A24" s="46">
        <v>23</v>
      </c>
      <c r="B24" s="82"/>
      <c r="C24" s="49" t="s">
        <v>54</v>
      </c>
      <c r="D24" s="10" t="s">
        <v>124</v>
      </c>
      <c r="E24" s="18" t="s">
        <v>88</v>
      </c>
      <c r="F24" s="18" t="s">
        <v>125</v>
      </c>
      <c r="G24" s="38" t="s">
        <v>87</v>
      </c>
      <c r="H24" s="21" t="s">
        <v>79</v>
      </c>
      <c r="I24" s="11">
        <v>1</v>
      </c>
      <c r="J24" s="11">
        <f t="shared" si="0"/>
        <v>10</v>
      </c>
    </row>
    <row r="25" spans="1:10" s="9" customFormat="1" ht="30.75" thickBot="1" x14ac:dyDescent="0.3">
      <c r="A25" s="46">
        <v>24</v>
      </c>
      <c r="B25" s="82"/>
      <c r="C25" s="49" t="s">
        <v>106</v>
      </c>
      <c r="D25" s="10" t="s">
        <v>107</v>
      </c>
      <c r="E25" s="18" t="s">
        <v>108</v>
      </c>
      <c r="F25" s="18" t="s">
        <v>109</v>
      </c>
      <c r="G25" s="38" t="s">
        <v>110</v>
      </c>
      <c r="H25" s="21" t="s">
        <v>79</v>
      </c>
      <c r="I25" s="11">
        <v>1</v>
      </c>
      <c r="J25" s="11">
        <f t="shared" si="0"/>
        <v>10</v>
      </c>
    </row>
    <row r="26" spans="1:10" s="9" customFormat="1" ht="16.5" thickBot="1" x14ac:dyDescent="0.3">
      <c r="A26" s="46">
        <v>25</v>
      </c>
      <c r="B26" s="82"/>
      <c r="C26" s="49" t="s">
        <v>111</v>
      </c>
      <c r="D26" s="75" t="s">
        <v>144</v>
      </c>
      <c r="E26" s="18" t="s">
        <v>116</v>
      </c>
      <c r="F26" s="18" t="s">
        <v>145</v>
      </c>
      <c r="G26" s="18" t="s">
        <v>146</v>
      </c>
      <c r="H26" s="21" t="s">
        <v>79</v>
      </c>
      <c r="I26" s="11">
        <v>1</v>
      </c>
      <c r="J26" s="11">
        <f t="shared" si="0"/>
        <v>10</v>
      </c>
    </row>
    <row r="27" spans="1:10" s="9" customFormat="1" ht="16.5" thickBot="1" x14ac:dyDescent="0.3">
      <c r="A27" s="46">
        <v>26</v>
      </c>
      <c r="B27" s="82"/>
      <c r="C27" s="51" t="s">
        <v>117</v>
      </c>
      <c r="D27" s="1" t="s">
        <v>118</v>
      </c>
      <c r="E27" s="29" t="s">
        <v>75</v>
      </c>
      <c r="F27" s="29" t="s">
        <v>79</v>
      </c>
      <c r="G27" s="29" t="s">
        <v>79</v>
      </c>
      <c r="H27" s="29" t="s">
        <v>79</v>
      </c>
      <c r="I27" s="2">
        <v>1</v>
      </c>
      <c r="J27" s="2">
        <f t="shared" si="0"/>
        <v>10</v>
      </c>
    </row>
    <row r="28" spans="1:10" s="9" customFormat="1" ht="48" customHeight="1" thickBot="1" x14ac:dyDescent="0.3">
      <c r="A28" s="46">
        <v>27</v>
      </c>
      <c r="B28" s="82"/>
      <c r="C28" s="74" t="s">
        <v>40</v>
      </c>
      <c r="D28" s="10" t="s">
        <v>141</v>
      </c>
      <c r="E28" s="18" t="s">
        <v>77</v>
      </c>
      <c r="F28" s="30" t="s">
        <v>142</v>
      </c>
      <c r="G28" s="35" t="s">
        <v>143</v>
      </c>
      <c r="H28" s="21" t="s">
        <v>79</v>
      </c>
      <c r="I28" s="11">
        <v>1</v>
      </c>
      <c r="J28" s="11">
        <f t="shared" si="0"/>
        <v>10</v>
      </c>
    </row>
    <row r="29" spans="1:10" ht="16.5" thickBot="1" x14ac:dyDescent="0.3">
      <c r="A29" s="46">
        <v>28</v>
      </c>
      <c r="B29" s="83"/>
      <c r="C29" s="59" t="s">
        <v>61</v>
      </c>
      <c r="D29" s="3" t="s">
        <v>60</v>
      </c>
      <c r="E29" s="31" t="s">
        <v>79</v>
      </c>
      <c r="F29" s="31" t="s">
        <v>59</v>
      </c>
      <c r="G29" s="39" t="s">
        <v>62</v>
      </c>
      <c r="H29" s="22" t="s">
        <v>79</v>
      </c>
      <c r="I29" s="4">
        <v>1</v>
      </c>
      <c r="J29" s="4">
        <f t="shared" si="0"/>
        <v>10</v>
      </c>
    </row>
    <row r="30" spans="1:10" ht="16.5" thickBot="1" x14ac:dyDescent="0.3">
      <c r="A30" s="46">
        <v>29</v>
      </c>
      <c r="B30" s="54" t="s">
        <v>120</v>
      </c>
      <c r="C30" s="60" t="s">
        <v>79</v>
      </c>
      <c r="D30" s="14" t="s">
        <v>121</v>
      </c>
      <c r="E30" s="32" t="s">
        <v>79</v>
      </c>
      <c r="F30" s="76" t="s">
        <v>122</v>
      </c>
      <c r="G30" s="37" t="s">
        <v>123</v>
      </c>
      <c r="H30" s="26" t="s">
        <v>79</v>
      </c>
      <c r="I30" s="15">
        <v>1</v>
      </c>
      <c r="J30" s="15">
        <f t="shared" si="0"/>
        <v>10</v>
      </c>
    </row>
    <row r="31" spans="1:10" s="9" customFormat="1" ht="30.75" thickBot="1" x14ac:dyDescent="0.3">
      <c r="A31" s="47">
        <v>30</v>
      </c>
      <c r="B31" s="53" t="s">
        <v>70</v>
      </c>
      <c r="C31" s="61" t="s">
        <v>126</v>
      </c>
      <c r="D31" s="62" t="s">
        <v>103</v>
      </c>
      <c r="E31" s="63" t="s">
        <v>58</v>
      </c>
      <c r="F31" s="63" t="s">
        <v>104</v>
      </c>
      <c r="G31" s="65" t="s">
        <v>105</v>
      </c>
      <c r="H31" s="66" t="s">
        <v>79</v>
      </c>
      <c r="I31" s="64">
        <v>1</v>
      </c>
      <c r="J31" s="64">
        <f t="shared" si="0"/>
        <v>10</v>
      </c>
    </row>
    <row r="32" spans="1:10" x14ac:dyDescent="0.25">
      <c r="G32" s="40"/>
    </row>
    <row r="33" spans="5:5" x14ac:dyDescent="0.25">
      <c r="E33" s="33"/>
    </row>
    <row r="34" spans="5:5" x14ac:dyDescent="0.25">
      <c r="E34" s="33"/>
    </row>
  </sheetData>
  <mergeCells count="6">
    <mergeCell ref="A1:J2"/>
    <mergeCell ref="B4:B8"/>
    <mergeCell ref="B19:B20"/>
    <mergeCell ref="B21:B29"/>
    <mergeCell ref="B9:B14"/>
    <mergeCell ref="B17:B18"/>
  </mergeCells>
  <hyperlinks>
    <hyperlink ref="G9" tooltip="Component" display="'Yageo"/>
    <hyperlink ref="G6" tooltip="Component" display="'Taiyo Yuden"/>
    <hyperlink ref="G10" tooltip="Component" display="'Yageo"/>
    <hyperlink ref="G7" tooltip="Component" display="'Murata"/>
    <hyperlink ref="G12" tooltip="Component" display="'Vishay Dale Thin Film"/>
    <hyperlink ref="G20" tooltip="Component" display="'STMicroelectronics"/>
    <hyperlink ref="G16" tooltip="Component" display="'ON Semiconductor"/>
    <hyperlink ref="G23" tooltip="Component" display="'On-Shore Technology"/>
    <hyperlink ref="G19" tooltip="Component" display="'STMicroelectronics"/>
    <hyperlink ref="G29" tooltip="Component" display="'Tag-Connect"/>
    <hyperlink ref="G5" tooltip="Component" display="'Yageo"/>
    <hyperlink ref="G4" tooltip="Component" display="'Yageo"/>
    <hyperlink ref="G14" tooltip="Component" display="'Yageo"/>
    <hyperlink ref="G11" tooltip="Component" display="'Yageo"/>
    <hyperlink ref="G17" tooltip="Component" display="'ON Semiconductor"/>
    <hyperlink ref="G13" tooltip="Component" display="'Yageo"/>
  </hyperlinks>
  <pageMargins left="0.7" right="0.7" top="0.75" bottom="0.75" header="0.3" footer="0.3"/>
  <pageSetup paperSize="5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John Wollam</vt:lpstr>
      <vt:lpstr>'John Wollam'!Print_Area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</dc:creator>
  <cp:lastModifiedBy>eSpark Group</cp:lastModifiedBy>
  <cp:lastPrinted>2019-11-26T06:53:00Z</cp:lastPrinted>
  <dcterms:created xsi:type="dcterms:W3CDTF">2019-07-13T12:51:14Z</dcterms:created>
  <dcterms:modified xsi:type="dcterms:W3CDTF">2020-10-14T13:22:28Z</dcterms:modified>
</cp:coreProperties>
</file>