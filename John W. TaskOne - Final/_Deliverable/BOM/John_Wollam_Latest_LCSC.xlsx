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bookViews>
    <workbookView xWindow="0" yWindow="0" windowWidth="20460" windowHeight="7590"/>
  </bookViews>
  <sheets>
    <sheet name="John Wollam" sheetId="1" r:id="rId1"/>
  </sheets>
  <definedNames>
    <definedName name="_xlnm.Print_Area" localSheetId="0">'John Wollam'!$B$1:$O$36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" l="1"/>
  <c r="J26" i="1" l="1"/>
  <c r="N26" i="1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7" i="1"/>
  <c r="N28" i="1"/>
  <c r="N29" i="1"/>
  <c r="N30" i="1"/>
  <c r="N31" i="1"/>
  <c r="N4" i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4" i="1"/>
  <c r="N35" i="1" l="1"/>
</calcChain>
</file>

<file path=xl/sharedStrings.xml><?xml version="1.0" encoding="utf-8"?>
<sst xmlns="http://schemas.openxmlformats.org/spreadsheetml/2006/main" count="237" uniqueCount="167">
  <si>
    <t>Description</t>
  </si>
  <si>
    <t>Designator</t>
  </si>
  <si>
    <t>Quantity</t>
  </si>
  <si>
    <t>Manufacturer Part Number</t>
  </si>
  <si>
    <t>0.1uF</t>
  </si>
  <si>
    <t>CAP CER 0.1UF 50V Y5V 0603</t>
  </si>
  <si>
    <t>C1, C2, C3, C6, C9, C10</t>
  </si>
  <si>
    <t>Yageo</t>
  </si>
  <si>
    <t>CC0603ZRY5V9BB104</t>
  </si>
  <si>
    <t>10000pF</t>
  </si>
  <si>
    <t>CAP CER 10000PF 50V X7R 0603</t>
  </si>
  <si>
    <t>C8</t>
  </si>
  <si>
    <t>CC0603KRX7R9BB103</t>
  </si>
  <si>
    <t>100K</t>
  </si>
  <si>
    <t>RES SMD 100K OHM 0.1% 1/10W 0603</t>
  </si>
  <si>
    <t>RT0603BRD07100KL</t>
  </si>
  <si>
    <t>R1, R2</t>
  </si>
  <si>
    <t>1uF</t>
  </si>
  <si>
    <t>CAP CER 1UF 50V X7R 0603</t>
  </si>
  <si>
    <t>C7, C13</t>
  </si>
  <si>
    <t>Taiyo Yuden</t>
  </si>
  <si>
    <t>UMK107AB7105KA-T</t>
  </si>
  <si>
    <t>20K</t>
  </si>
  <si>
    <t>RES SMD 20K OHM 1% 1/10W 0603</t>
  </si>
  <si>
    <t>R6, R7, R8, R9, R10, R11, R12, R13, R14, R15, R17</t>
  </si>
  <si>
    <t>RC0603FR-0720KL</t>
  </si>
  <si>
    <t>20pF</t>
  </si>
  <si>
    <t>CAP CER 20PF 50V C0G/NPO 0603</t>
  </si>
  <si>
    <t>C4, C5</t>
  </si>
  <si>
    <t>CC0603JRNPO9BN200</t>
  </si>
  <si>
    <t>4.7uF</t>
  </si>
  <si>
    <t>CAP CER 4.7UF 25V X5R 0603</t>
  </si>
  <si>
    <t>Murata</t>
  </si>
  <si>
    <t>GRM188R61E475KE11D</t>
  </si>
  <si>
    <t>50K</t>
  </si>
  <si>
    <t>RES SMD 50K OHM 0.1% 0.15W 0603</t>
  </si>
  <si>
    <t>Vishay Dale Thin Film</t>
  </si>
  <si>
    <t>PNM0603E5002BST5</t>
  </si>
  <si>
    <t>CRYSTAL 8.0000MHZ 18PF SMD</t>
  </si>
  <si>
    <t>X1</t>
  </si>
  <si>
    <t>J3</t>
  </si>
  <si>
    <t>DMP2045U-7</t>
  </si>
  <si>
    <t>LDL1117S33R</t>
  </si>
  <si>
    <t>IC REG LINEAR 3.3V 1.2A SOT223</t>
  </si>
  <si>
    <t>U2</t>
  </si>
  <si>
    <t>STMicroelectronics</t>
  </si>
  <si>
    <t>MBR120VLSFT3G</t>
  </si>
  <si>
    <t>DIODE SCHOTTKY 20V 1A SOD123FL</t>
  </si>
  <si>
    <t>ON Semiconductor</t>
  </si>
  <si>
    <t>USB1</t>
  </si>
  <si>
    <t>OSTTC102162</t>
  </si>
  <si>
    <t>TERM BLK 10P SIDE ENT 5.08MM PCB</t>
  </si>
  <si>
    <t>J1</t>
  </si>
  <si>
    <t>On-Shore Technology</t>
  </si>
  <si>
    <t>J4</t>
  </si>
  <si>
    <t>STM32F070C6T6TR</t>
  </si>
  <si>
    <t>IC MCU 32BIT 32KB FLASH 48LQFP</t>
  </si>
  <si>
    <t>U1</t>
  </si>
  <si>
    <t>4-PIN SMT</t>
  </si>
  <si>
    <t>TC2030-IDC</t>
  </si>
  <si>
    <t>CABLE ADAPTER 6 POS</t>
  </si>
  <si>
    <t>J2</t>
  </si>
  <si>
    <t>Tag-Connect</t>
  </si>
  <si>
    <t>Capacitor</t>
  </si>
  <si>
    <t>Resistor</t>
  </si>
  <si>
    <t>Crystal</t>
  </si>
  <si>
    <t>Diode</t>
  </si>
  <si>
    <t>Transistor</t>
  </si>
  <si>
    <t>IC</t>
  </si>
  <si>
    <t>Connector</t>
  </si>
  <si>
    <t>Switch</t>
  </si>
  <si>
    <t>Value</t>
  </si>
  <si>
    <t>Link</t>
  </si>
  <si>
    <t>Footprint(Package)</t>
  </si>
  <si>
    <t>Manufacturer</t>
  </si>
  <si>
    <t>10K</t>
  </si>
  <si>
    <t>Remarks</t>
  </si>
  <si>
    <t>0603 (1608 Metric)</t>
  </si>
  <si>
    <t>8.000MHz</t>
  </si>
  <si>
    <t>Custom(SMD)</t>
  </si>
  <si>
    <t>SOD-123F</t>
  </si>
  <si>
    <t>---</t>
  </si>
  <si>
    <t>Diodes Incorporated</t>
  </si>
  <si>
    <t>SOT-23</t>
  </si>
  <si>
    <t>48LQFP</t>
  </si>
  <si>
    <t>MOSFET P-CHANNEL 24V SOT-23</t>
  </si>
  <si>
    <t>SOT-223</t>
  </si>
  <si>
    <t>USB_Micro_B(SMD)</t>
  </si>
  <si>
    <t xml:space="preserve">Through Hole (5.08mm) </t>
  </si>
  <si>
    <t>Sullins Connector Solutions</t>
  </si>
  <si>
    <t xml:space="preserve">Through Hole (2.54mm) </t>
  </si>
  <si>
    <t>Do Not Mount</t>
  </si>
  <si>
    <t>Total Quantity</t>
  </si>
  <si>
    <t xml:space="preserve">Notes: </t>
  </si>
  <si>
    <t xml:space="preserve">2- Supplier costing and custom charges are added in the final cost. </t>
  </si>
  <si>
    <t>R19</t>
  </si>
  <si>
    <t>RES SMD 56K OHM 1% 1/10W 0603</t>
  </si>
  <si>
    <t>RC0603FR-0756KL</t>
  </si>
  <si>
    <t>56K</t>
  </si>
  <si>
    <t>R3, R5</t>
  </si>
  <si>
    <t>RES SMD 10K OHM 1% 1/10W 0603</t>
  </si>
  <si>
    <t>RC0603FR-0710KL</t>
  </si>
  <si>
    <t>D1, D2</t>
  </si>
  <si>
    <t>Q1, Q3</t>
  </si>
  <si>
    <t>Q2, Q4, Q5, Q6, Q7, Q8</t>
  </si>
  <si>
    <t>MOSFET N-CH 50V 200MA SOT-23</t>
  </si>
  <si>
    <t>SOT-23-3</t>
  </si>
  <si>
    <t>BSS138LT1G</t>
  </si>
  <si>
    <t>SWITCH TACTILE SPST-NO 0.05A 12V</t>
  </si>
  <si>
    <t>TL3301NF160QG/TR</t>
  </si>
  <si>
    <t>E-Switch</t>
  </si>
  <si>
    <t>J5</t>
  </si>
  <si>
    <t>10 Pin JTAG Header for ICE programmer (1.27mm Pitch)</t>
  </si>
  <si>
    <t xml:space="preserve">Through Hole (1.27mm) </t>
  </si>
  <si>
    <t>20021111-00010T4LF</t>
  </si>
  <si>
    <t>Amphenol FCI</t>
  </si>
  <si>
    <t>J6</t>
  </si>
  <si>
    <t>P1</t>
  </si>
  <si>
    <t>Header, 3-Pin</t>
  </si>
  <si>
    <t>M20-9770346</t>
  </si>
  <si>
    <t>Harwin</t>
  </si>
  <si>
    <t>Custom</t>
  </si>
  <si>
    <t>SB1</t>
  </si>
  <si>
    <t>Solder Bridge ON</t>
  </si>
  <si>
    <t>S. No.</t>
  </si>
  <si>
    <t>Unit Price</t>
  </si>
  <si>
    <t>Total Price</t>
  </si>
  <si>
    <t>Battery/Coin Cell</t>
  </si>
  <si>
    <t>BATTERY LITHIUM 3V CR2032</t>
  </si>
  <si>
    <t>CR2032</t>
  </si>
  <si>
    <t xml:space="preserve"> ZEUS Battery Products</t>
  </si>
  <si>
    <t xml:space="preserve">Total Component Cost </t>
  </si>
  <si>
    <t>Custom Charges</t>
  </si>
  <si>
    <t>Shipping Charges</t>
  </si>
  <si>
    <t xml:space="preserve">Total </t>
  </si>
  <si>
    <t>CONN HDR 16POS 0.1 TIN PCB</t>
  </si>
  <si>
    <t>PPTC161LFBN-RC</t>
  </si>
  <si>
    <t>SW1</t>
  </si>
  <si>
    <t>C11, C14</t>
  </si>
  <si>
    <t>R4</t>
  </si>
  <si>
    <t>3.6R</t>
  </si>
  <si>
    <t>CRCW12063R60FKEA</t>
  </si>
  <si>
    <t>Vishay Dale</t>
  </si>
  <si>
    <t>RES SMD 3.6 OHM 1% 1/4W 1206</t>
  </si>
  <si>
    <t>Component Type</t>
  </si>
  <si>
    <t>R18, R20, R21, R22, R23, R24, R25, R26, R27, R28, R29, R30, R31</t>
  </si>
  <si>
    <t>1206 (3216 Metric)</t>
  </si>
  <si>
    <t>LCSC Quantity</t>
  </si>
  <si>
    <t>Bill Of Material (BOM) for John Wollam (Task-1)_LCSC</t>
  </si>
  <si>
    <t>LCSC</t>
  </si>
  <si>
    <t xml:space="preserve">Similar Link </t>
  </si>
  <si>
    <t xml:space="preserve">  </t>
  </si>
  <si>
    <t>1- The costing is done for Ten (10) boards. All components will be calculated with multiplication factor Ten (10).</t>
  </si>
  <si>
    <t xml:space="preserve"> TXC Corp</t>
  </si>
  <si>
    <t xml:space="preserve">7B08070001
</t>
  </si>
  <si>
    <t>CONN USB MICRO B RECPT SMT R/A</t>
  </si>
  <si>
    <t>10118192-0001LF</t>
  </si>
  <si>
    <t xml:space="preserve"> Amphenol ICC</t>
  </si>
  <si>
    <t>DC Power Receptacle Jack 2.5A 2.5mm 6.5mm SMD AC/DC Power Plugs &amp; Receptacles RoHS</t>
  </si>
  <si>
    <t xml:space="preserve">DC-005-5A-2.5-SMT
</t>
  </si>
  <si>
    <t>XKB Connectivity</t>
  </si>
  <si>
    <t>BATTERY HOLDER COIN 20MM SMD</t>
  </si>
  <si>
    <t>1060TR</t>
  </si>
  <si>
    <t>Keystone Electronics</t>
  </si>
  <si>
    <t>Alternate Part - Checked</t>
  </si>
  <si>
    <t>Part changed due to LCSC</t>
  </si>
  <si>
    <t>Need to be changed in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</si>
</sst>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164" formatCode="&quot;$&quot;#,##0.000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trike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41">
    <xf numFmtId="0" fontId="0" fillId="0" borderId="0" xfId="0"/>
    <xf numFmtId="0" fontId="7" fillId="2" borderId="1" xfId="0" quotePrefix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Border="1"/>
    <xf numFmtId="0" fontId="3" fillId="0" borderId="3" xfId="0" quotePrefix="1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0" xfId="0" applyFill="1"/>
    <xf numFmtId="0" fontId="3" fillId="0" borderId="1" xfId="0" quotePrefix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3" fillId="0" borderId="4" xfId="0" quotePrefix="1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3" fillId="0" borderId="2" xfId="0" quotePrefix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4" fontId="0" fillId="0" borderId="3" xfId="0" applyNumberFormat="1" applyFont="1" applyBorder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4" xfId="0" quotePrefix="1" applyFont="1" applyFill="1" applyBorder="1" applyAlignment="1">
      <alignment horizontal="center" vertical="center"/>
    </xf>
    <xf numFmtId="0" fontId="3" fillId="0" borderId="2" xfId="0" quotePrefix="1" applyFont="1" applyFill="1" applyBorder="1" applyAlignment="1">
      <alignment horizontal="center" vertical="center"/>
    </xf>
    <xf numFmtId="49" fontId="3" fillId="0" borderId="1" xfId="0" quotePrefix="1" applyNumberFormat="1" applyFont="1" applyFill="1" applyBorder="1" applyAlignment="1">
      <alignment horizontal="center" vertical="center"/>
    </xf>
    <xf numFmtId="49" fontId="7" fillId="2" borderId="4" xfId="0" quotePrefix="1" applyNumberFormat="1" applyFont="1" applyFill="1" applyBorder="1" applyAlignment="1">
      <alignment horizontal="center" vertical="center"/>
    </xf>
    <xf numFmtId="49" fontId="3" fillId="0" borderId="3" xfId="0" quotePrefix="1" applyNumberFormat="1" applyFont="1" applyFill="1" applyBorder="1" applyAlignment="1">
      <alignment horizontal="center" vertical="center"/>
    </xf>
    <xf numFmtId="0" fontId="1" fillId="0" borderId="3" xfId="1" quotePrefix="1" applyFill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49" fontId="3" fillId="0" borderId="2" xfId="0" quotePrefix="1" applyNumberFormat="1" applyFont="1" applyFill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49" fontId="11" fillId="0" borderId="2" xfId="0" quotePrefix="1" applyNumberFormat="1" applyFont="1" applyFill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3" fillId="0" borderId="4" xfId="0" quotePrefix="1" applyNumberFormat="1" applyFont="1" applyFill="1" applyBorder="1" applyAlignment="1">
      <alignment horizontal="center" vertical="center"/>
    </xf>
    <xf numFmtId="0" fontId="1" fillId="0" borderId="3" xfId="1" quotePrefix="1" applyBorder="1" applyAlignment="1">
      <alignment horizontal="center" vertical="center"/>
    </xf>
    <xf numFmtId="0" fontId="1" fillId="0" borderId="4" xfId="1" quotePrefix="1" applyBorder="1" applyAlignment="1">
      <alignment horizontal="center" vertical="center"/>
    </xf>
    <xf numFmtId="0" fontId="0" fillId="0" borderId="0" xfId="0" applyFill="1" applyBorder="1"/>
    <xf numFmtId="0" fontId="7" fillId="2" borderId="1" xfId="0" quotePrefix="1" applyFont="1" applyFill="1" applyBorder="1" applyAlignment="1">
      <alignment horizontal="center" vertical="center"/>
    </xf>
    <xf numFmtId="165" fontId="9" fillId="3" borderId="24" xfId="0" applyNumberFormat="1" applyFont="1" applyFill="1" applyBorder="1" applyAlignment="1">
      <alignment horizontal="center" vertical="center"/>
    </xf>
    <xf numFmtId="6" fontId="9" fillId="3" borderId="17" xfId="0" applyNumberFormat="1" applyFont="1" applyFill="1" applyBorder="1" applyAlignment="1">
      <alignment horizontal="center"/>
    </xf>
    <xf numFmtId="0" fontId="3" fillId="0" borderId="1" xfId="0" quotePrefix="1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center" vertical="center"/>
    </xf>
    <xf numFmtId="49" fontId="11" fillId="0" borderId="2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0" fillId="0" borderId="0" xfId="0" applyFont="1" applyFill="1" applyBorder="1" applyAlignment="1">
      <alignment horizontal="center" vertical="center" wrapText="1"/>
    </xf>
    <xf numFmtId="0" fontId="3" fillId="0" borderId="3" xfId="1" quotePrefix="1" applyFont="1" applyFill="1" applyBorder="1" applyAlignment="1">
      <alignment horizontal="center" vertical="center"/>
    </xf>
    <xf numFmtId="0" fontId="3" fillId="0" borderId="1" xfId="1" quotePrefix="1" applyFont="1" applyFill="1" applyBorder="1" applyAlignment="1">
      <alignment horizontal="center" vertical="center"/>
    </xf>
    <xf numFmtId="0" fontId="3" fillId="0" borderId="4" xfId="1" quotePrefix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2" borderId="4" xfId="1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164" fontId="1" fillId="0" borderId="1" xfId="1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1" quotePrefix="1" applyBorder="1" applyAlignment="1">
      <alignment horizontal="center"/>
    </xf>
    <xf numFmtId="0" fontId="5" fillId="3" borderId="2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3" fillId="0" borderId="27" xfId="0" quotePrefix="1" applyFont="1" applyFill="1" applyBorder="1" applyAlignment="1">
      <alignment vertical="center" wrapText="1"/>
    </xf>
    <xf numFmtId="0" fontId="3" fillId="0" borderId="28" xfId="0" quotePrefix="1" applyFont="1" applyFill="1" applyBorder="1" applyAlignment="1">
      <alignment vertical="center" wrapText="1"/>
    </xf>
    <xf numFmtId="0" fontId="3" fillId="0" borderId="29" xfId="0" quotePrefix="1" applyFont="1" applyFill="1" applyBorder="1" applyAlignment="1">
      <alignment vertical="center" wrapText="1"/>
    </xf>
    <xf numFmtId="0" fontId="7" fillId="2" borderId="28" xfId="0" quotePrefix="1" applyFont="1" applyFill="1" applyBorder="1" applyAlignment="1">
      <alignment vertical="center" wrapText="1"/>
    </xf>
    <xf numFmtId="0" fontId="2" fillId="0" borderId="17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" xfId="0" quotePrefix="1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/>
    </xf>
    <xf numFmtId="0" fontId="3" fillId="0" borderId="25" xfId="0" quotePrefix="1" applyFont="1" applyFill="1" applyBorder="1" applyAlignment="1">
      <alignment vertical="center" wrapText="1"/>
    </xf>
    <xf numFmtId="0" fontId="1" fillId="0" borderId="2" xfId="1" quotePrefix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7" fillId="2" borderId="29" xfId="0" quotePrefix="1" applyFont="1" applyFill="1" applyBorder="1" applyAlignment="1">
      <alignment vertical="center" wrapText="1"/>
    </xf>
    <xf numFmtId="49" fontId="8" fillId="2" borderId="4" xfId="0" quotePrefix="1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49" fontId="11" fillId="0" borderId="25" xfId="0" quotePrefix="1" applyNumberFormat="1" applyFont="1" applyFill="1" applyBorder="1" applyAlignment="1">
      <alignment vertical="center" wrapText="1"/>
    </xf>
    <xf numFmtId="165" fontId="0" fillId="0" borderId="3" xfId="0" applyNumberFormat="1" applyFont="1" applyBorder="1" applyAlignment="1">
      <alignment horizontal="center" vertical="center"/>
    </xf>
    <xf numFmtId="165" fontId="0" fillId="0" borderId="37" xfId="0" applyNumberFormat="1" applyFont="1" applyBorder="1" applyAlignment="1">
      <alignment horizontal="center" vertical="center"/>
    </xf>
    <xf numFmtId="165" fontId="0" fillId="0" borderId="38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0" fontId="3" fillId="0" borderId="39" xfId="0" quotePrefix="1" applyFont="1" applyFill="1" applyBorder="1" applyAlignment="1">
      <alignment vertical="center" wrapText="1"/>
    </xf>
    <xf numFmtId="0" fontId="3" fillId="0" borderId="13" xfId="0" quotePrefix="1" applyFont="1" applyFill="1" applyBorder="1" applyAlignment="1">
      <alignment vertical="center" wrapText="1"/>
    </xf>
    <xf numFmtId="0" fontId="3" fillId="0" borderId="13" xfId="0" quotePrefix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3" xfId="1" quotePrefix="1" applyFont="1" applyFill="1" applyBorder="1" applyAlignment="1">
      <alignment horizontal="center" vertical="center"/>
    </xf>
    <xf numFmtId="0" fontId="1" fillId="0" borderId="13" xfId="1" quotePrefix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0" fontId="0" fillId="0" borderId="40" xfId="0" applyFill="1" applyBorder="1" applyAlignment="1">
      <alignment vertical="center"/>
    </xf>
    <xf numFmtId="165" fontId="0" fillId="0" borderId="4" xfId="0" applyNumberFormat="1" applyFont="1" applyBorder="1" applyAlignment="1">
      <alignment horizontal="center" vertical="center"/>
    </xf>
    <xf numFmtId="49" fontId="3" fillId="0" borderId="13" xfId="0" quotePrefix="1" applyNumberFormat="1" applyFont="1" applyFill="1" applyBorder="1" applyAlignment="1">
      <alignment horizontal="center" vertical="center"/>
    </xf>
    <xf numFmtId="165" fontId="0" fillId="0" borderId="2" xfId="0" applyNumberFormat="1" applyFont="1" applyBorder="1" applyAlignment="1">
      <alignment horizontal="center" vertical="center"/>
    </xf>
    <xf numFmtId="0" fontId="3" fillId="0" borderId="41" xfId="0" quotePrefix="1" applyFont="1" applyFill="1" applyBorder="1" applyAlignment="1">
      <alignment vertical="center" wrapText="1"/>
    </xf>
    <xf numFmtId="0" fontId="3" fillId="0" borderId="38" xfId="0" quotePrefix="1" applyFont="1" applyFill="1" applyBorder="1" applyAlignment="1">
      <alignment vertical="center" wrapText="1"/>
    </xf>
    <xf numFmtId="0" fontId="3" fillId="0" borderId="38" xfId="0" quotePrefix="1" applyFont="1" applyFill="1" applyBorder="1" applyAlignment="1">
      <alignment horizontal="center" vertical="center"/>
    </xf>
    <xf numFmtId="0" fontId="3" fillId="0" borderId="38" xfId="1" quotePrefix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1" fillId="0" borderId="38" xfId="1" quotePrefix="1" applyBorder="1" applyAlignment="1">
      <alignment horizontal="center" vertical="center"/>
    </xf>
    <xf numFmtId="164" fontId="0" fillId="0" borderId="38" xfId="0" applyNumberFormat="1" applyFont="1" applyBorder="1" applyAlignment="1">
      <alignment horizontal="center" vertical="center"/>
    </xf>
    <xf numFmtId="0" fontId="0" fillId="0" borderId="42" xfId="0" applyFill="1" applyBorder="1" applyAlignment="1">
      <alignment vertical="center"/>
    </xf>
    <xf numFmtId="49" fontId="0" fillId="0" borderId="38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3" fillId="0" borderId="28" xfId="0" quotePrefix="1" applyFont="1" applyFill="1" applyBorder="1" applyAlignment="1">
      <alignment vertical="center"/>
    </xf>
    <xf numFmtId="0" fontId="3" fillId="0" borderId="28" xfId="0" quotePrefix="1" applyFont="1" applyBorder="1"/>
    <xf numFmtId="0" fontId="3" fillId="0" borderId="2" xfId="0" quotePrefix="1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6" fillId="3" borderId="1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YAGEO-RC0603FR-0710KL_C98220.html" TargetMode="External"/><Relationship Id="rId13" Type="http://schemas.openxmlformats.org/officeDocument/2006/relationships/hyperlink" Target="https://lcsc.com/product-detail/Pin-Header-Female-Header_Amphenol-ICC_20021111-00010T4LF_Amphenol-ICC-20021111-00010T4LF_C239059.html" TargetMode="External"/><Relationship Id="rId18" Type="http://schemas.openxmlformats.org/officeDocument/2006/relationships/hyperlink" Target="https://lcsc.com/product-detail/SMD-Crystal-Resonators_TXC-Corp-7B08070001_C331620.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Multilayer-Ceramic-Capacitors-MLCC-SMD-SMT_TAIYO-YUDEN_UMK107AB7105KA-T_1uF-105-10-50V_C105174.html" TargetMode="External"/><Relationship Id="rId21" Type="http://schemas.openxmlformats.org/officeDocument/2006/relationships/hyperlink" Target="https://lcsc.com/product-detail/Pin-Header-Female-Header_BOOMELE-Boom-Precision-Elec-C66987_C66987.html" TargetMode="External"/><Relationship Id="rId7" Type="http://schemas.openxmlformats.org/officeDocument/2006/relationships/hyperlink" Target="https://lcsc.com/product-detail/Chip-Resistor-Surface-Mount_20KR-2002-1_C105575.html" TargetMode="External"/><Relationship Id="rId12" Type="http://schemas.openxmlformats.org/officeDocument/2006/relationships/hyperlink" Target="https://lcsc.com/product-detail/Dropout-Regulators-LDO_STMicroelectronics_LDL1117S33R_STMicroelectronics-LDL1117S33R_C435835.html" TargetMode="External"/><Relationship Id="rId17" Type="http://schemas.openxmlformats.org/officeDocument/2006/relationships/hyperlink" Target="https://lcsc.com/product-detail/ST-Microelectronics_STMicroelectronics_STM32F070CBT6_STM32F070CBT6_C74909.html" TargetMode="External"/><Relationship Id="rId25" Type="http://schemas.openxmlformats.org/officeDocument/2006/relationships/hyperlink" Target="https://lcsc.com/product-detail/Others_Keystone_1060TR_Keystone-1060TR_C238069.html" TargetMode="External"/><Relationship Id="rId2" Type="http://schemas.openxmlformats.org/officeDocument/2006/relationships/hyperlink" Target="https://lcsc.com/product-detail/Multilayer-Ceramic-Capacitors-MLCC-SMD-SMT_10nF-103-10-50V_C100042.html" TargetMode="External"/><Relationship Id="rId16" Type="http://schemas.openxmlformats.org/officeDocument/2006/relationships/hyperlink" Target="https://lcsc.com/product-detail/Chip-Resistor-Surface-Mount_3-6R-3R60-1_C104803.html" TargetMode="External"/><Relationship Id="rId20" Type="http://schemas.openxmlformats.org/officeDocument/2006/relationships/hyperlink" Target="https://lcsc.com/product-detail/Pin-Header-Female-Header_PINREX-210-91-03GB01_C390679.html" TargetMode="External"/><Relationship Id="rId1" Type="http://schemas.openxmlformats.org/officeDocument/2006/relationships/hyperlink" Target="https://lcsc.com/product-detail/Multilayer-Ceramic-Capacitors-MLCC-SMD-SMT_100nF-104-20-to-80-50V_C106221.html" TargetMode="External"/><Relationship Id="rId6" Type="http://schemas.openxmlformats.org/officeDocument/2006/relationships/hyperlink" Target="https://lcsc.com/product-detail/High-Precision-Low-TCR-SMD-Resistors_100KR-1003-0-1_C122538.html" TargetMode="External"/><Relationship Id="rId11" Type="http://schemas.openxmlformats.org/officeDocument/2006/relationships/hyperlink" Target="https://lcsc.com/product-detail/MOSFET_Diodes-Incorporated-DMP2045U-7_C459541.html" TargetMode="External"/><Relationship Id="rId24" Type="http://schemas.openxmlformats.org/officeDocument/2006/relationships/hyperlink" Target="https://lcsc.com/product-detail/Schottky-Barrier-Diodes-SBD_ON-Semiconductor-ON-MBR120VLSFT1G_C223608.html" TargetMode="External"/><Relationship Id="rId5" Type="http://schemas.openxmlformats.org/officeDocument/2006/relationships/hyperlink" Target="https://lcsc.com/product-detail/Multilayer-Ceramic-Capacitors-MLCC-SMD-SMT_20pF-200-5-50V_C105621.html" TargetMode="External"/><Relationship Id="rId15" Type="http://schemas.openxmlformats.org/officeDocument/2006/relationships/hyperlink" Target="https://lcsc.com/product-detail/Chip-Resistor-Surface-Mount_51KR-5102-1_C160049.html" TargetMode="External"/><Relationship Id="rId23" Type="http://schemas.openxmlformats.org/officeDocument/2006/relationships/hyperlink" Target="https://lcsc.com/product-detail/Screw-terminal_DEGSON-DG500-5-08-02P-14-00A-H_C691859.html" TargetMode="External"/><Relationship Id="rId10" Type="http://schemas.openxmlformats.org/officeDocument/2006/relationships/hyperlink" Target="https://lcsc.com/product-detail/MOSFET_ON-Semiconductor-ON-BSS138LT1G_C82045.html" TargetMode="External"/><Relationship Id="rId19" Type="http://schemas.openxmlformats.org/officeDocument/2006/relationships/hyperlink" Target="https://lcsc.com/product-detail/USB-Connectors_Amphenol_10118192-0001LF_10118192-0001LF_C132564.html" TargetMode="External"/><Relationship Id="rId4" Type="http://schemas.openxmlformats.org/officeDocument/2006/relationships/hyperlink" Target="https://lcsc.com/product-detail/Multilayer-Ceramic-Capacitors-MLCC-SMD-SMT_Murata-Electronics-GRM188R61E475KE11D_C90057.html" TargetMode="External"/><Relationship Id="rId9" Type="http://schemas.openxmlformats.org/officeDocument/2006/relationships/hyperlink" Target="https://lcsc.com/product-detail/Chip-Resistor-Surface-Mount_56KR-5602-1_C114630.html" TargetMode="External"/><Relationship Id="rId14" Type="http://schemas.openxmlformats.org/officeDocument/2006/relationships/hyperlink" Target="https://lcsc.com/product-detail/Others_Omron-Electronics_B3U-1000P_Omron-Electronics-B3U-1000P_C231329.html" TargetMode="External"/><Relationship Id="rId22" Type="http://schemas.openxmlformats.org/officeDocument/2006/relationships/hyperlink" Target="https://lcsc.com/product-detail/AC-DC-Power-Plugs-Receptacles_XKB-Connectivity-DC-005-5A-2-5-SMT_C31913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tabSelected="1" topLeftCell="F1" zoomScale="85" zoomScaleNormal="85" workbookViewId="0">
      <pane ySplit="2" topLeftCell="A21" activePane="bottomLeft" state="frozen"/>
      <selection pane="bottomLeft" activeCell="N33" sqref="N33"/>
    </sheetView>
  </sheetViews>
  <sheetFormatPr defaultRowHeight="15" x14ac:dyDescent="0.25"/>
  <cols>
    <col min="1" max="1" width="6.85546875" customWidth="1"/>
    <col min="2" max="2" width="18" bestFit="1" customWidth="1"/>
    <col min="3" max="3" width="26.140625" bestFit="1" customWidth="1"/>
    <col min="4" max="4" width="32.42578125" customWidth="1"/>
    <col min="5" max="5" width="41.42578125" style="6" customWidth="1"/>
    <col min="6" max="6" width="28.42578125" style="33" bestFit="1" customWidth="1"/>
    <col min="7" max="7" width="31.140625" style="6" bestFit="1" customWidth="1"/>
    <col min="8" max="8" width="9.85546875" style="33" bestFit="1" customWidth="1"/>
    <col min="9" max="9" width="9.7109375" bestFit="1" customWidth="1"/>
    <col min="10" max="11" width="15.42578125" customWidth="1"/>
    <col min="12" max="12" width="11.85546875" style="33" bestFit="1" customWidth="1"/>
    <col min="13" max="13" width="11.5703125" customWidth="1"/>
    <col min="14" max="14" width="14.7109375" style="6" customWidth="1"/>
    <col min="15" max="15" width="29.28515625" bestFit="1" customWidth="1"/>
  </cols>
  <sheetData>
    <row r="1" spans="1:32" ht="15" customHeight="1" x14ac:dyDescent="0.25">
      <c r="A1" s="119" t="s">
        <v>148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1"/>
      <c r="P1" s="21"/>
      <c r="Q1" s="21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9.5" thickBot="1" x14ac:dyDescent="0.3">
      <c r="A2" s="122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4"/>
      <c r="P2" s="21"/>
      <c r="Q2" s="2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6.5" thickBot="1" x14ac:dyDescent="0.3">
      <c r="A3" s="63" t="s">
        <v>124</v>
      </c>
      <c r="B3" s="64" t="s">
        <v>144</v>
      </c>
      <c r="C3" s="65" t="s">
        <v>1</v>
      </c>
      <c r="D3" s="66" t="s">
        <v>0</v>
      </c>
      <c r="E3" s="67" t="s">
        <v>73</v>
      </c>
      <c r="F3" s="66" t="s">
        <v>3</v>
      </c>
      <c r="G3" s="66" t="s">
        <v>74</v>
      </c>
      <c r="H3" s="66" t="s">
        <v>71</v>
      </c>
      <c r="I3" s="66" t="s">
        <v>2</v>
      </c>
      <c r="J3" s="66" t="s">
        <v>92</v>
      </c>
      <c r="K3" s="67" t="s">
        <v>147</v>
      </c>
      <c r="L3" s="66" t="s">
        <v>72</v>
      </c>
      <c r="M3" s="67" t="s">
        <v>125</v>
      </c>
      <c r="N3" s="66" t="s">
        <v>126</v>
      </c>
      <c r="O3" s="66" t="s">
        <v>76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11" customFormat="1" ht="16.5" thickBot="1" x14ac:dyDescent="0.3">
      <c r="A4" s="68">
        <v>1</v>
      </c>
      <c r="B4" s="128" t="s">
        <v>63</v>
      </c>
      <c r="C4" s="71" t="s">
        <v>6</v>
      </c>
      <c r="D4" s="8" t="s">
        <v>5</v>
      </c>
      <c r="E4" s="23" t="s">
        <v>77</v>
      </c>
      <c r="F4" s="23" t="s">
        <v>8</v>
      </c>
      <c r="G4" s="52" t="s">
        <v>7</v>
      </c>
      <c r="H4" s="23" t="s">
        <v>4</v>
      </c>
      <c r="I4" s="9">
        <v>6</v>
      </c>
      <c r="J4" s="9">
        <f>I4*10</f>
        <v>60</v>
      </c>
      <c r="K4" s="9">
        <v>100</v>
      </c>
      <c r="L4" s="30" t="s">
        <v>149</v>
      </c>
      <c r="M4" s="22">
        <v>4.7540000000000004E-3</v>
      </c>
      <c r="N4" s="88">
        <f>K4*M4</f>
        <v>0.47540000000000004</v>
      </c>
      <c r="O4" s="10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</row>
    <row r="5" spans="1:32" s="11" customFormat="1" ht="16.5" thickBot="1" x14ac:dyDescent="0.3">
      <c r="A5" s="68">
        <v>2</v>
      </c>
      <c r="B5" s="129"/>
      <c r="C5" s="72" t="s">
        <v>11</v>
      </c>
      <c r="D5" s="12" t="s">
        <v>10</v>
      </c>
      <c r="E5" s="24" t="s">
        <v>77</v>
      </c>
      <c r="F5" s="24" t="s">
        <v>12</v>
      </c>
      <c r="G5" s="53" t="s">
        <v>7</v>
      </c>
      <c r="H5" s="24" t="s">
        <v>9</v>
      </c>
      <c r="I5" s="13">
        <v>1</v>
      </c>
      <c r="J5" s="13">
        <f t="shared" ref="J5:J31" si="0">I5*10</f>
        <v>10</v>
      </c>
      <c r="K5" s="13">
        <v>100</v>
      </c>
      <c r="L5" s="36" t="s">
        <v>149</v>
      </c>
      <c r="M5" s="32">
        <v>3.1710000000000002E-3</v>
      </c>
      <c r="N5" s="90">
        <f t="shared" ref="N5:N31" si="1">K5*M5</f>
        <v>0.31710000000000005</v>
      </c>
      <c r="O5" s="14"/>
    </row>
    <row r="6" spans="1:32" s="11" customFormat="1" ht="16.5" thickBot="1" x14ac:dyDescent="0.3">
      <c r="A6" s="68">
        <v>3</v>
      </c>
      <c r="B6" s="129"/>
      <c r="C6" s="72" t="s">
        <v>19</v>
      </c>
      <c r="D6" s="12" t="s">
        <v>18</v>
      </c>
      <c r="E6" s="24" t="s">
        <v>77</v>
      </c>
      <c r="F6" s="24" t="s">
        <v>21</v>
      </c>
      <c r="G6" s="53" t="s">
        <v>20</v>
      </c>
      <c r="H6" s="24" t="s">
        <v>17</v>
      </c>
      <c r="I6" s="13">
        <v>2</v>
      </c>
      <c r="J6" s="13">
        <f t="shared" si="0"/>
        <v>20</v>
      </c>
      <c r="K6" s="13">
        <v>40</v>
      </c>
      <c r="L6" s="36" t="s">
        <v>149</v>
      </c>
      <c r="M6" s="32">
        <v>1.8977000000000001E-2</v>
      </c>
      <c r="N6" s="90">
        <f t="shared" si="1"/>
        <v>0.75907999999999998</v>
      </c>
      <c r="O6" s="14"/>
    </row>
    <row r="7" spans="1:32" s="11" customFormat="1" ht="16.5" thickBot="1" x14ac:dyDescent="0.3">
      <c r="A7" s="68">
        <v>4</v>
      </c>
      <c r="B7" s="129"/>
      <c r="C7" s="72" t="s">
        <v>138</v>
      </c>
      <c r="D7" s="12" t="s">
        <v>31</v>
      </c>
      <c r="E7" s="24" t="s">
        <v>77</v>
      </c>
      <c r="F7" s="24" t="s">
        <v>33</v>
      </c>
      <c r="G7" s="53" t="s">
        <v>32</v>
      </c>
      <c r="H7" s="24" t="s">
        <v>30</v>
      </c>
      <c r="I7" s="13">
        <v>2</v>
      </c>
      <c r="J7" s="13">
        <f t="shared" si="0"/>
        <v>20</v>
      </c>
      <c r="K7" s="13">
        <v>30</v>
      </c>
      <c r="L7" s="36" t="s">
        <v>149</v>
      </c>
      <c r="M7" s="32">
        <v>5.2675E-2</v>
      </c>
      <c r="N7" s="90">
        <f t="shared" si="1"/>
        <v>1.5802499999999999</v>
      </c>
      <c r="O7" s="14"/>
    </row>
    <row r="8" spans="1:32" s="11" customFormat="1" ht="16.5" thickBot="1" x14ac:dyDescent="0.3">
      <c r="A8" s="68">
        <v>5</v>
      </c>
      <c r="B8" s="130"/>
      <c r="C8" s="73" t="s">
        <v>28</v>
      </c>
      <c r="D8" s="15" t="s">
        <v>27</v>
      </c>
      <c r="E8" s="25" t="s">
        <v>77</v>
      </c>
      <c r="F8" s="25" t="s">
        <v>29</v>
      </c>
      <c r="G8" s="54" t="s">
        <v>7</v>
      </c>
      <c r="H8" s="25" t="s">
        <v>26</v>
      </c>
      <c r="I8" s="16">
        <v>2</v>
      </c>
      <c r="J8" s="16">
        <f t="shared" si="0"/>
        <v>20</v>
      </c>
      <c r="K8" s="16">
        <v>50</v>
      </c>
      <c r="L8" s="42" t="s">
        <v>149</v>
      </c>
      <c r="M8" s="34">
        <v>4.3410000000000002E-3</v>
      </c>
      <c r="N8" s="91">
        <f t="shared" si="1"/>
        <v>0.21705000000000002</v>
      </c>
      <c r="O8" s="17"/>
    </row>
    <row r="9" spans="1:32" s="11" customFormat="1" ht="30.75" thickBot="1" x14ac:dyDescent="0.3">
      <c r="A9" s="68">
        <v>6</v>
      </c>
      <c r="B9" s="128" t="s">
        <v>64</v>
      </c>
      <c r="C9" s="71" t="s">
        <v>99</v>
      </c>
      <c r="D9" s="8" t="s">
        <v>14</v>
      </c>
      <c r="E9" s="23" t="s">
        <v>77</v>
      </c>
      <c r="F9" s="23" t="s">
        <v>15</v>
      </c>
      <c r="G9" s="52" t="s">
        <v>7</v>
      </c>
      <c r="H9" s="23" t="s">
        <v>13</v>
      </c>
      <c r="I9" s="9">
        <v>2</v>
      </c>
      <c r="J9" s="9">
        <f t="shared" si="0"/>
        <v>20</v>
      </c>
      <c r="K9" s="9">
        <v>40</v>
      </c>
      <c r="L9" s="41" t="s">
        <v>149</v>
      </c>
      <c r="M9" s="22">
        <v>2.4726000000000001E-2</v>
      </c>
      <c r="N9" s="88">
        <f t="shared" si="1"/>
        <v>0.98904000000000003</v>
      </c>
      <c r="O9" s="10"/>
    </row>
    <row r="10" spans="1:32" s="11" customFormat="1" ht="30.75" thickBot="1" x14ac:dyDescent="0.3">
      <c r="A10" s="68">
        <v>7</v>
      </c>
      <c r="B10" s="129"/>
      <c r="C10" s="72" t="s">
        <v>24</v>
      </c>
      <c r="D10" s="12" t="s">
        <v>23</v>
      </c>
      <c r="E10" s="24" t="s">
        <v>77</v>
      </c>
      <c r="F10" s="24" t="s">
        <v>25</v>
      </c>
      <c r="G10" s="53" t="s">
        <v>7</v>
      </c>
      <c r="H10" s="24" t="s">
        <v>22</v>
      </c>
      <c r="I10" s="13">
        <v>11</v>
      </c>
      <c r="J10" s="13">
        <f t="shared" si="0"/>
        <v>110</v>
      </c>
      <c r="K10" s="13">
        <v>200</v>
      </c>
      <c r="L10" s="36" t="s">
        <v>149</v>
      </c>
      <c r="M10" s="32">
        <v>1.294E-3</v>
      </c>
      <c r="N10" s="90">
        <f t="shared" si="1"/>
        <v>0.25880000000000003</v>
      </c>
      <c r="O10" s="14"/>
    </row>
    <row r="11" spans="1:32" s="11" customFormat="1" ht="45.75" thickBot="1" x14ac:dyDescent="0.3">
      <c r="A11" s="68">
        <v>8</v>
      </c>
      <c r="B11" s="129"/>
      <c r="C11" s="72" t="s">
        <v>145</v>
      </c>
      <c r="D11" s="12" t="s">
        <v>100</v>
      </c>
      <c r="E11" s="24" t="s">
        <v>77</v>
      </c>
      <c r="F11" s="24" t="s">
        <v>101</v>
      </c>
      <c r="G11" s="53" t="s">
        <v>7</v>
      </c>
      <c r="H11" s="24" t="s">
        <v>75</v>
      </c>
      <c r="I11" s="13">
        <v>13</v>
      </c>
      <c r="J11" s="13">
        <f t="shared" si="0"/>
        <v>130</v>
      </c>
      <c r="K11" s="13">
        <v>200</v>
      </c>
      <c r="L11" s="36" t="s">
        <v>149</v>
      </c>
      <c r="M11" s="32">
        <v>9.6500000000000004E-4</v>
      </c>
      <c r="N11" s="90">
        <f t="shared" si="1"/>
        <v>0.193</v>
      </c>
      <c r="O11" s="14"/>
    </row>
    <row r="12" spans="1:32" s="11" customFormat="1" ht="30.75" thickBot="1" x14ac:dyDescent="0.3">
      <c r="A12" s="68">
        <v>10</v>
      </c>
      <c r="B12" s="129"/>
      <c r="C12" s="72" t="s">
        <v>16</v>
      </c>
      <c r="D12" s="12" t="s">
        <v>35</v>
      </c>
      <c r="E12" s="24" t="s">
        <v>77</v>
      </c>
      <c r="F12" s="24" t="s">
        <v>37</v>
      </c>
      <c r="G12" s="53" t="s">
        <v>36</v>
      </c>
      <c r="H12" s="24" t="s">
        <v>34</v>
      </c>
      <c r="I12" s="13">
        <v>2</v>
      </c>
      <c r="J12" s="13">
        <f t="shared" si="0"/>
        <v>20</v>
      </c>
      <c r="K12" s="13">
        <v>100</v>
      </c>
      <c r="L12" s="36" t="s">
        <v>149</v>
      </c>
      <c r="M12" s="32">
        <v>2.526E-3</v>
      </c>
      <c r="N12" s="90">
        <f t="shared" si="1"/>
        <v>0.25259999999999999</v>
      </c>
      <c r="O12" s="14" t="s">
        <v>164</v>
      </c>
    </row>
    <row r="13" spans="1:32" s="11" customFormat="1" ht="16.5" thickBot="1" x14ac:dyDescent="0.3">
      <c r="A13" s="68">
        <v>11</v>
      </c>
      <c r="B13" s="132"/>
      <c r="C13" s="72" t="s">
        <v>139</v>
      </c>
      <c r="D13" s="12" t="s">
        <v>143</v>
      </c>
      <c r="E13" s="24" t="s">
        <v>146</v>
      </c>
      <c r="F13" s="24" t="s">
        <v>141</v>
      </c>
      <c r="G13" s="53" t="s">
        <v>142</v>
      </c>
      <c r="H13" s="24" t="s">
        <v>140</v>
      </c>
      <c r="I13" s="13">
        <v>1</v>
      </c>
      <c r="J13" s="13">
        <f t="shared" si="0"/>
        <v>10</v>
      </c>
      <c r="K13" s="13">
        <v>50</v>
      </c>
      <c r="L13" s="36" t="s">
        <v>149</v>
      </c>
      <c r="M13" s="32">
        <v>7.2810000000000001E-3</v>
      </c>
      <c r="N13" s="90">
        <f t="shared" si="1"/>
        <v>0.36404999999999998</v>
      </c>
      <c r="O13" s="14" t="s">
        <v>164</v>
      </c>
    </row>
    <row r="14" spans="1:32" s="11" customFormat="1" ht="16.5" thickBot="1" x14ac:dyDescent="0.3">
      <c r="A14" s="68">
        <v>12</v>
      </c>
      <c r="B14" s="130"/>
      <c r="C14" s="73" t="s">
        <v>95</v>
      </c>
      <c r="D14" s="15" t="s">
        <v>96</v>
      </c>
      <c r="E14" s="78" t="s">
        <v>77</v>
      </c>
      <c r="F14" s="25" t="s">
        <v>97</v>
      </c>
      <c r="G14" s="54" t="s">
        <v>7</v>
      </c>
      <c r="H14" s="25" t="s">
        <v>98</v>
      </c>
      <c r="I14" s="16">
        <v>1</v>
      </c>
      <c r="J14" s="16">
        <f t="shared" si="0"/>
        <v>10</v>
      </c>
      <c r="K14" s="16">
        <v>100</v>
      </c>
      <c r="L14" s="42" t="s">
        <v>149</v>
      </c>
      <c r="M14" s="34">
        <v>1.542E-3</v>
      </c>
      <c r="N14" s="100">
        <f t="shared" si="1"/>
        <v>0.1542</v>
      </c>
      <c r="O14" s="17" t="s">
        <v>151</v>
      </c>
    </row>
    <row r="15" spans="1:32" s="11" customFormat="1" ht="16.5" thickBot="1" x14ac:dyDescent="0.3">
      <c r="A15" s="70">
        <v>14</v>
      </c>
      <c r="B15" s="75" t="s">
        <v>65</v>
      </c>
      <c r="C15" s="80" t="s">
        <v>39</v>
      </c>
      <c r="D15" s="18" t="s">
        <v>38</v>
      </c>
      <c r="E15" s="26" t="s">
        <v>79</v>
      </c>
      <c r="F15" s="19" t="s">
        <v>154</v>
      </c>
      <c r="G15" s="55" t="s">
        <v>153</v>
      </c>
      <c r="H15" s="26" t="s">
        <v>78</v>
      </c>
      <c r="I15" s="19">
        <v>1</v>
      </c>
      <c r="J15" s="19">
        <f t="shared" si="0"/>
        <v>10</v>
      </c>
      <c r="K15" s="19">
        <v>13</v>
      </c>
      <c r="L15" s="81" t="s">
        <v>149</v>
      </c>
      <c r="M15" s="37">
        <v>0.28499999999999998</v>
      </c>
      <c r="N15" s="102">
        <f t="shared" si="1"/>
        <v>3.7049999999999996</v>
      </c>
      <c r="O15" s="20" t="s">
        <v>165</v>
      </c>
    </row>
    <row r="16" spans="1:32" s="11" customFormat="1" ht="16.5" thickBot="1" x14ac:dyDescent="0.3">
      <c r="A16" s="70">
        <v>15</v>
      </c>
      <c r="B16" s="75" t="s">
        <v>66</v>
      </c>
      <c r="C16" s="80" t="s">
        <v>102</v>
      </c>
      <c r="D16" s="18" t="s">
        <v>47</v>
      </c>
      <c r="E16" s="26" t="s">
        <v>80</v>
      </c>
      <c r="F16" s="26" t="s">
        <v>46</v>
      </c>
      <c r="G16" s="55" t="s">
        <v>48</v>
      </c>
      <c r="H16" s="35" t="s">
        <v>81</v>
      </c>
      <c r="I16" s="19">
        <v>2</v>
      </c>
      <c r="J16" s="19">
        <f t="shared" si="0"/>
        <v>20</v>
      </c>
      <c r="K16" s="19">
        <v>25</v>
      </c>
      <c r="L16" s="81" t="s">
        <v>149</v>
      </c>
      <c r="M16" s="37">
        <v>0.116785</v>
      </c>
      <c r="N16" s="102">
        <f t="shared" si="1"/>
        <v>2.9196249999999999</v>
      </c>
      <c r="O16" s="20" t="s">
        <v>164</v>
      </c>
    </row>
    <row r="17" spans="1:15" s="11" customFormat="1" ht="16.5" thickBot="1" x14ac:dyDescent="0.3">
      <c r="A17" s="79">
        <v>16</v>
      </c>
      <c r="B17" s="133" t="s">
        <v>67</v>
      </c>
      <c r="C17" s="71" t="s">
        <v>104</v>
      </c>
      <c r="D17" s="8" t="s">
        <v>105</v>
      </c>
      <c r="E17" s="23" t="s">
        <v>106</v>
      </c>
      <c r="F17" s="23" t="s">
        <v>107</v>
      </c>
      <c r="G17" s="52" t="s">
        <v>48</v>
      </c>
      <c r="H17" s="29" t="s">
        <v>81</v>
      </c>
      <c r="I17" s="9">
        <v>6</v>
      </c>
      <c r="J17" s="9">
        <f t="shared" si="0"/>
        <v>60</v>
      </c>
      <c r="K17" s="9">
        <v>70</v>
      </c>
      <c r="L17" s="41" t="s">
        <v>149</v>
      </c>
      <c r="M17" s="22">
        <v>3.4627999999999999E-2</v>
      </c>
      <c r="N17" s="87">
        <f t="shared" si="1"/>
        <v>2.4239600000000001</v>
      </c>
      <c r="O17" s="10"/>
    </row>
    <row r="18" spans="1:15" s="11" customFormat="1" ht="16.5" thickBot="1" x14ac:dyDescent="0.3">
      <c r="A18" s="68">
        <v>17</v>
      </c>
      <c r="B18" s="134"/>
      <c r="C18" s="73" t="s">
        <v>103</v>
      </c>
      <c r="D18" s="15" t="s">
        <v>85</v>
      </c>
      <c r="E18" s="25" t="s">
        <v>83</v>
      </c>
      <c r="F18" s="25" t="s">
        <v>41</v>
      </c>
      <c r="G18" s="54" t="s">
        <v>82</v>
      </c>
      <c r="H18" s="82" t="s">
        <v>81</v>
      </c>
      <c r="I18" s="16">
        <v>2</v>
      </c>
      <c r="J18" s="16">
        <f t="shared" si="0"/>
        <v>20</v>
      </c>
      <c r="K18" s="16">
        <v>25</v>
      </c>
      <c r="L18" s="42" t="s">
        <v>149</v>
      </c>
      <c r="M18" s="34">
        <v>0.11555</v>
      </c>
      <c r="N18" s="100">
        <f t="shared" si="1"/>
        <v>2.8887499999999999</v>
      </c>
      <c r="O18" s="17"/>
    </row>
    <row r="19" spans="1:15" s="11" customFormat="1" ht="16.5" thickBot="1" x14ac:dyDescent="0.3">
      <c r="A19" s="68">
        <v>18</v>
      </c>
      <c r="B19" s="131" t="s">
        <v>68</v>
      </c>
      <c r="C19" s="103" t="s">
        <v>57</v>
      </c>
      <c r="D19" s="104" t="s">
        <v>56</v>
      </c>
      <c r="E19" s="105" t="s">
        <v>84</v>
      </c>
      <c r="F19" s="105" t="s">
        <v>55</v>
      </c>
      <c r="G19" s="106" t="s">
        <v>45</v>
      </c>
      <c r="H19" s="111" t="s">
        <v>81</v>
      </c>
      <c r="I19" s="107">
        <v>1</v>
      </c>
      <c r="J19" s="107">
        <f t="shared" si="0"/>
        <v>10</v>
      </c>
      <c r="K19" s="107">
        <v>12</v>
      </c>
      <c r="L19" s="108" t="s">
        <v>149</v>
      </c>
      <c r="M19" s="109">
        <v>1.7916669999999999</v>
      </c>
      <c r="N19" s="89">
        <f t="shared" si="1"/>
        <v>21.500003999999997</v>
      </c>
      <c r="O19" s="110" t="s">
        <v>150</v>
      </c>
    </row>
    <row r="20" spans="1:15" s="11" customFormat="1" ht="16.5" thickBot="1" x14ac:dyDescent="0.3">
      <c r="A20" s="68">
        <v>19</v>
      </c>
      <c r="B20" s="130"/>
      <c r="C20" s="73" t="s">
        <v>44</v>
      </c>
      <c r="D20" s="15" t="s">
        <v>43</v>
      </c>
      <c r="E20" s="25" t="s">
        <v>86</v>
      </c>
      <c r="F20" s="25" t="s">
        <v>42</v>
      </c>
      <c r="G20" s="54" t="s">
        <v>45</v>
      </c>
      <c r="H20" s="40" t="s">
        <v>81</v>
      </c>
      <c r="I20" s="16">
        <v>1</v>
      </c>
      <c r="J20" s="16">
        <f t="shared" si="0"/>
        <v>10</v>
      </c>
      <c r="K20" s="16">
        <v>12</v>
      </c>
      <c r="L20" s="42" t="s">
        <v>149</v>
      </c>
      <c r="M20" s="34">
        <v>0.11418300000000001</v>
      </c>
      <c r="N20" s="89">
        <f t="shared" si="1"/>
        <v>1.370196</v>
      </c>
      <c r="O20" s="17"/>
    </row>
    <row r="21" spans="1:15" s="11" customFormat="1" ht="16.5" thickBot="1" x14ac:dyDescent="0.3">
      <c r="A21" s="68">
        <v>20</v>
      </c>
      <c r="B21" s="128" t="s">
        <v>69</v>
      </c>
      <c r="C21" s="71" t="s">
        <v>49</v>
      </c>
      <c r="D21" s="112" t="s">
        <v>155</v>
      </c>
      <c r="E21" s="23" t="s">
        <v>87</v>
      </c>
      <c r="F21" s="23" t="s">
        <v>156</v>
      </c>
      <c r="G21" s="52" t="s">
        <v>157</v>
      </c>
      <c r="H21" s="29" t="s">
        <v>81</v>
      </c>
      <c r="I21" s="9">
        <v>1</v>
      </c>
      <c r="J21" s="9">
        <f t="shared" si="0"/>
        <v>10</v>
      </c>
      <c r="K21" s="9">
        <v>12</v>
      </c>
      <c r="L21" s="41" t="s">
        <v>149</v>
      </c>
      <c r="M21" s="22">
        <v>0.25833299999999998</v>
      </c>
      <c r="N21" s="88">
        <f t="shared" si="1"/>
        <v>3.099996</v>
      </c>
      <c r="O21" s="10" t="s">
        <v>165</v>
      </c>
    </row>
    <row r="22" spans="1:15" s="11" customFormat="1" ht="16.5" thickBot="1" x14ac:dyDescent="0.3">
      <c r="A22" s="68">
        <v>21</v>
      </c>
      <c r="B22" s="131"/>
      <c r="C22" s="72" t="s">
        <v>117</v>
      </c>
      <c r="D22" s="12" t="s">
        <v>118</v>
      </c>
      <c r="E22" s="24" t="s">
        <v>90</v>
      </c>
      <c r="F22" s="24" t="s">
        <v>119</v>
      </c>
      <c r="G22" s="53" t="s">
        <v>120</v>
      </c>
      <c r="H22" s="27" t="s">
        <v>81</v>
      </c>
      <c r="I22" s="13">
        <v>1</v>
      </c>
      <c r="J22" s="13">
        <f t="shared" si="0"/>
        <v>10</v>
      </c>
      <c r="K22" s="13">
        <v>50</v>
      </c>
      <c r="L22" s="36" t="s">
        <v>149</v>
      </c>
      <c r="M22" s="32">
        <v>8.5810000000000001E-3</v>
      </c>
      <c r="N22" s="90">
        <f t="shared" si="1"/>
        <v>0.42904999999999999</v>
      </c>
      <c r="O22" s="14" t="s">
        <v>164</v>
      </c>
    </row>
    <row r="23" spans="1:15" s="11" customFormat="1" ht="30.75" thickBot="1" x14ac:dyDescent="0.3">
      <c r="A23" s="68">
        <v>22</v>
      </c>
      <c r="B23" s="129"/>
      <c r="C23" s="72" t="s">
        <v>52</v>
      </c>
      <c r="D23" s="12" t="s">
        <v>51</v>
      </c>
      <c r="E23" s="24" t="s">
        <v>88</v>
      </c>
      <c r="F23" s="24" t="s">
        <v>50</v>
      </c>
      <c r="G23" s="53" t="s">
        <v>53</v>
      </c>
      <c r="H23" s="27" t="s">
        <v>81</v>
      </c>
      <c r="I23" s="13">
        <v>1</v>
      </c>
      <c r="J23" s="13">
        <f t="shared" si="0"/>
        <v>10</v>
      </c>
      <c r="K23" s="13">
        <v>60</v>
      </c>
      <c r="L23" s="36" t="s">
        <v>149</v>
      </c>
      <c r="M23" s="32">
        <v>0.14445</v>
      </c>
      <c r="N23" s="90">
        <f t="shared" si="1"/>
        <v>8.6669999999999998</v>
      </c>
      <c r="O23" s="14" t="s">
        <v>164</v>
      </c>
    </row>
    <row r="24" spans="1:15" s="11" customFormat="1" ht="16.5" thickBot="1" x14ac:dyDescent="0.3">
      <c r="A24" s="68">
        <v>23</v>
      </c>
      <c r="B24" s="129"/>
      <c r="C24" s="72" t="s">
        <v>54</v>
      </c>
      <c r="D24" s="12" t="s">
        <v>135</v>
      </c>
      <c r="E24" s="24" t="s">
        <v>90</v>
      </c>
      <c r="F24" s="24" t="s">
        <v>136</v>
      </c>
      <c r="G24" s="56" t="s">
        <v>89</v>
      </c>
      <c r="H24" s="27" t="s">
        <v>81</v>
      </c>
      <c r="I24" s="13">
        <v>1</v>
      </c>
      <c r="J24" s="13">
        <f t="shared" si="0"/>
        <v>10</v>
      </c>
      <c r="K24" s="13">
        <v>15</v>
      </c>
      <c r="L24" s="62" t="s">
        <v>149</v>
      </c>
      <c r="M24" s="32">
        <v>7.6425000000000007E-2</v>
      </c>
      <c r="N24" s="90">
        <f t="shared" si="1"/>
        <v>1.1463750000000001</v>
      </c>
      <c r="O24" s="14"/>
    </row>
    <row r="25" spans="1:15" s="11" customFormat="1" ht="30.75" thickBot="1" x14ac:dyDescent="0.3">
      <c r="A25" s="68">
        <v>24</v>
      </c>
      <c r="B25" s="129"/>
      <c r="C25" s="72" t="s">
        <v>111</v>
      </c>
      <c r="D25" s="12" t="s">
        <v>112</v>
      </c>
      <c r="E25" s="24" t="s">
        <v>113</v>
      </c>
      <c r="F25" s="24" t="s">
        <v>114</v>
      </c>
      <c r="G25" s="56" t="s">
        <v>115</v>
      </c>
      <c r="H25" s="27" t="s">
        <v>81</v>
      </c>
      <c r="I25" s="13">
        <v>1</v>
      </c>
      <c r="J25" s="13">
        <f t="shared" si="0"/>
        <v>10</v>
      </c>
      <c r="K25" s="13">
        <v>12</v>
      </c>
      <c r="L25" s="60" t="s">
        <v>149</v>
      </c>
      <c r="M25" s="32">
        <v>0.48</v>
      </c>
      <c r="N25" s="90">
        <f t="shared" si="1"/>
        <v>5.76</v>
      </c>
      <c r="O25" s="14"/>
    </row>
    <row r="26" spans="1:15" s="11" customFormat="1" ht="16.5" thickBot="1" x14ac:dyDescent="0.3">
      <c r="A26" s="68">
        <v>25</v>
      </c>
      <c r="B26" s="129"/>
      <c r="C26" s="72" t="s">
        <v>116</v>
      </c>
      <c r="D26" s="114" t="s">
        <v>161</v>
      </c>
      <c r="E26" s="24" t="s">
        <v>121</v>
      </c>
      <c r="F26" s="24" t="s">
        <v>162</v>
      </c>
      <c r="G26" s="24" t="s">
        <v>163</v>
      </c>
      <c r="H26" s="27" t="s">
        <v>81</v>
      </c>
      <c r="I26" s="13">
        <v>1</v>
      </c>
      <c r="J26" s="13">
        <f t="shared" si="0"/>
        <v>10</v>
      </c>
      <c r="K26" s="13">
        <v>12</v>
      </c>
      <c r="L26" s="36" t="s">
        <v>149</v>
      </c>
      <c r="M26" s="32">
        <v>1.1033329999999999</v>
      </c>
      <c r="N26" s="90">
        <f t="shared" si="1"/>
        <v>13.239995999999998</v>
      </c>
      <c r="O26" s="14"/>
    </row>
    <row r="27" spans="1:15" s="11" customFormat="1" ht="16.5" thickBot="1" x14ac:dyDescent="0.3">
      <c r="A27" s="68">
        <v>26</v>
      </c>
      <c r="B27" s="129"/>
      <c r="C27" s="74" t="s">
        <v>122</v>
      </c>
      <c r="D27" s="1" t="s">
        <v>123</v>
      </c>
      <c r="E27" s="44" t="s">
        <v>77</v>
      </c>
      <c r="F27" s="44" t="s">
        <v>81</v>
      </c>
      <c r="G27" s="44" t="s">
        <v>81</v>
      </c>
      <c r="H27" s="44" t="s">
        <v>81</v>
      </c>
      <c r="I27" s="2">
        <v>1</v>
      </c>
      <c r="J27" s="2">
        <f t="shared" si="0"/>
        <v>10</v>
      </c>
      <c r="K27" s="2"/>
      <c r="L27" s="31"/>
      <c r="M27" s="31"/>
      <c r="N27" s="2">
        <f t="shared" si="1"/>
        <v>0</v>
      </c>
      <c r="O27" s="69" t="s">
        <v>91</v>
      </c>
    </row>
    <row r="28" spans="1:15" s="11" customFormat="1" ht="48" customHeight="1" thickBot="1" x14ac:dyDescent="0.3">
      <c r="A28" s="68">
        <v>27</v>
      </c>
      <c r="B28" s="129"/>
      <c r="C28" s="113" t="s">
        <v>40</v>
      </c>
      <c r="D28" s="12" t="s">
        <v>158</v>
      </c>
      <c r="E28" s="24" t="s">
        <v>79</v>
      </c>
      <c r="F28" s="47" t="s">
        <v>159</v>
      </c>
      <c r="G28" s="53" t="s">
        <v>160</v>
      </c>
      <c r="H28" s="27" t="s">
        <v>81</v>
      </c>
      <c r="I28" s="13">
        <v>1</v>
      </c>
      <c r="J28" s="13">
        <f t="shared" si="0"/>
        <v>10</v>
      </c>
      <c r="K28" s="13">
        <v>13</v>
      </c>
      <c r="L28" s="36" t="s">
        <v>149</v>
      </c>
      <c r="M28" s="32">
        <v>0.13298299999999999</v>
      </c>
      <c r="N28" s="90">
        <f t="shared" si="1"/>
        <v>1.7287789999999998</v>
      </c>
      <c r="O28" s="14"/>
    </row>
    <row r="29" spans="1:15" ht="16.5" thickBot="1" x14ac:dyDescent="0.3">
      <c r="A29" s="68">
        <v>28</v>
      </c>
      <c r="B29" s="130"/>
      <c r="C29" s="83" t="s">
        <v>61</v>
      </c>
      <c r="D29" s="3" t="s">
        <v>60</v>
      </c>
      <c r="E29" s="48" t="s">
        <v>81</v>
      </c>
      <c r="F29" s="48" t="s">
        <v>59</v>
      </c>
      <c r="G29" s="57" t="s">
        <v>62</v>
      </c>
      <c r="H29" s="28" t="s">
        <v>81</v>
      </c>
      <c r="I29" s="4">
        <v>1</v>
      </c>
      <c r="J29" s="4">
        <f t="shared" si="0"/>
        <v>10</v>
      </c>
      <c r="K29" s="4"/>
      <c r="L29" s="39"/>
      <c r="M29" s="84"/>
      <c r="N29" s="2">
        <f t="shared" si="1"/>
        <v>0</v>
      </c>
      <c r="O29" s="85" t="s">
        <v>91</v>
      </c>
    </row>
    <row r="30" spans="1:15" ht="16.5" thickBot="1" x14ac:dyDescent="0.3">
      <c r="A30" s="68">
        <v>29</v>
      </c>
      <c r="B30" s="77" t="s">
        <v>127</v>
      </c>
      <c r="C30" s="86" t="s">
        <v>81</v>
      </c>
      <c r="D30" s="18" t="s">
        <v>128</v>
      </c>
      <c r="E30" s="49" t="s">
        <v>81</v>
      </c>
      <c r="F30" s="115" t="s">
        <v>129</v>
      </c>
      <c r="G30" s="55" t="s">
        <v>130</v>
      </c>
      <c r="H30" s="38" t="s">
        <v>81</v>
      </c>
      <c r="I30" s="19">
        <v>1</v>
      </c>
      <c r="J30" s="19">
        <f t="shared" si="0"/>
        <v>10</v>
      </c>
      <c r="K30" s="19"/>
      <c r="L30" s="81"/>
      <c r="M30" s="37"/>
      <c r="N30" s="102">
        <f t="shared" si="1"/>
        <v>0</v>
      </c>
      <c r="O30" s="20"/>
    </row>
    <row r="31" spans="1:15" s="11" customFormat="1" ht="30.75" thickBot="1" x14ac:dyDescent="0.3">
      <c r="A31" s="70">
        <v>30</v>
      </c>
      <c r="B31" s="76" t="s">
        <v>70</v>
      </c>
      <c r="C31" s="92" t="s">
        <v>137</v>
      </c>
      <c r="D31" s="93" t="s">
        <v>108</v>
      </c>
      <c r="E31" s="94" t="s">
        <v>58</v>
      </c>
      <c r="F31" s="94" t="s">
        <v>109</v>
      </c>
      <c r="G31" s="96" t="s">
        <v>110</v>
      </c>
      <c r="H31" s="101" t="s">
        <v>81</v>
      </c>
      <c r="I31" s="95">
        <v>1</v>
      </c>
      <c r="J31" s="95">
        <f t="shared" si="0"/>
        <v>10</v>
      </c>
      <c r="K31" s="95">
        <v>12</v>
      </c>
      <c r="L31" s="97" t="s">
        <v>149</v>
      </c>
      <c r="M31" s="98">
        <v>0.23499999999999999</v>
      </c>
      <c r="N31" s="89">
        <f t="shared" si="1"/>
        <v>2.82</v>
      </c>
      <c r="O31" s="99" t="s">
        <v>166</v>
      </c>
    </row>
    <row r="32" spans="1:15" ht="15.75" thickBot="1" x14ac:dyDescent="0.3">
      <c r="I32" s="135" t="s">
        <v>131</v>
      </c>
      <c r="J32" s="136"/>
      <c r="K32" s="136"/>
      <c r="L32" s="136"/>
      <c r="M32" s="137"/>
      <c r="N32" s="45">
        <f>SUM(N4:N31)</f>
        <v>77.259300999999979</v>
      </c>
    </row>
    <row r="33" spans="3:14" ht="15.75" thickBot="1" x14ac:dyDescent="0.3">
      <c r="I33" s="138" t="s">
        <v>132</v>
      </c>
      <c r="J33" s="139"/>
      <c r="K33" s="139"/>
      <c r="L33" s="139"/>
      <c r="M33" s="140"/>
      <c r="N33" s="46">
        <v>40</v>
      </c>
    </row>
    <row r="34" spans="3:14" ht="19.5" thickBot="1" x14ac:dyDescent="0.35">
      <c r="C34" s="5"/>
      <c r="I34" s="138" t="s">
        <v>133</v>
      </c>
      <c r="J34" s="139"/>
      <c r="K34" s="139"/>
      <c r="L34" s="139"/>
      <c r="M34" s="140"/>
      <c r="N34" s="46">
        <v>20</v>
      </c>
    </row>
    <row r="35" spans="3:14" ht="19.5" thickBot="1" x14ac:dyDescent="0.35">
      <c r="C35" s="5" t="s">
        <v>93</v>
      </c>
      <c r="D35" s="61"/>
      <c r="E35"/>
      <c r="I35" s="138" t="s">
        <v>134</v>
      </c>
      <c r="J35" s="139"/>
      <c r="K35" s="139"/>
      <c r="L35" s="139"/>
      <c r="M35" s="140"/>
      <c r="N35" s="46">
        <f>SUM(N32:N34)</f>
        <v>137.25930099999999</v>
      </c>
    </row>
    <row r="36" spans="3:14" ht="18.75" x14ac:dyDescent="0.3">
      <c r="C36" s="125" t="s">
        <v>152</v>
      </c>
      <c r="D36" s="126"/>
      <c r="E36" s="127"/>
      <c r="F36" s="51"/>
      <c r="G36" s="58"/>
    </row>
    <row r="37" spans="3:14" ht="15.75" thickBot="1" x14ac:dyDescent="0.3">
      <c r="C37" s="116" t="s">
        <v>94</v>
      </c>
      <c r="D37" s="117"/>
      <c r="E37" s="118"/>
      <c r="G37" s="59"/>
    </row>
    <row r="38" spans="3:14" x14ac:dyDescent="0.25">
      <c r="G38" s="59"/>
    </row>
    <row r="39" spans="3:14" x14ac:dyDescent="0.25">
      <c r="E39" s="50"/>
    </row>
    <row r="40" spans="3:14" x14ac:dyDescent="0.25">
      <c r="E40" s="50"/>
    </row>
  </sheetData>
  <mergeCells count="12">
    <mergeCell ref="C37:E37"/>
    <mergeCell ref="A1:O2"/>
    <mergeCell ref="C36:E36"/>
    <mergeCell ref="B4:B8"/>
    <mergeCell ref="B19:B20"/>
    <mergeCell ref="B21:B29"/>
    <mergeCell ref="B9:B14"/>
    <mergeCell ref="B17:B18"/>
    <mergeCell ref="I32:M32"/>
    <mergeCell ref="I33:M33"/>
    <mergeCell ref="I34:M34"/>
    <mergeCell ref="I35:M35"/>
  </mergeCells>
  <hyperlinks>
    <hyperlink ref="G9" tooltip="Component" display="'Yageo"/>
    <hyperlink ref="G6" tooltip="Component" display="'Taiyo Yuden"/>
    <hyperlink ref="G10" tooltip="Component" display="'Yageo"/>
    <hyperlink ref="G7" tooltip="Component" display="'Murata"/>
    <hyperlink ref="G12" tooltip="Component" display="'Vishay Dale Thin Film"/>
    <hyperlink ref="G20" tooltip="Component" display="'STMicroelectronics"/>
    <hyperlink ref="G16" tooltip="Component" display="'ON Semiconductor"/>
    <hyperlink ref="G23" tooltip="Component" display="'On-Shore Technology"/>
    <hyperlink ref="G19" tooltip="Component" display="'STMicroelectronics"/>
    <hyperlink ref="G29" tooltip="Component" display="'Tag-Connect"/>
    <hyperlink ref="G5" tooltip="Component" display="'Yageo"/>
    <hyperlink ref="G4" tooltip="Component" display="'Yageo"/>
    <hyperlink ref="G14" tooltip="Component" display="'Yageo"/>
    <hyperlink ref="G11" tooltip="Component" display="'Yageo"/>
    <hyperlink ref="G17" tooltip="Component" display="'ON Semiconductor"/>
    <hyperlink ref="G13" tooltip="Component" display="'Yageo"/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4" r:id="rId9"/>
    <hyperlink ref="L17" r:id="rId10"/>
    <hyperlink ref="L18" r:id="rId11"/>
    <hyperlink ref="L20" r:id="rId12"/>
    <hyperlink ref="L25" r:id="rId13"/>
    <hyperlink ref="L31" r:id="rId14"/>
    <hyperlink ref="L12" r:id="rId15"/>
    <hyperlink ref="L13" r:id="rId16"/>
    <hyperlink ref="L19" r:id="rId17"/>
    <hyperlink ref="L15" r:id="rId18"/>
    <hyperlink ref="L21" r:id="rId19"/>
    <hyperlink ref="L22" r:id="rId20"/>
    <hyperlink ref="L24" r:id="rId21"/>
    <hyperlink ref="L28" r:id="rId22"/>
    <hyperlink ref="L23" r:id="rId23"/>
    <hyperlink ref="L16" r:id="rId24"/>
    <hyperlink ref="L26" r:id="rId25"/>
  </hyperlinks>
  <pageMargins left="0.7" right="0.7" top="0.75" bottom="0.75" header="0.3" footer="0.3"/>
  <pageSetup paperSize="5" scale="60" orientation="landscape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John Wollam</vt:lpstr>
      <vt:lpstr>'John Wollam'!Print_Area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Faizan Ur Rahman</cp:lastModifiedBy>
  <cp:lastPrinted>2019-11-26T06:53:00Z</cp:lastPrinted>
  <dcterms:created xsi:type="dcterms:W3CDTF">2019-07-13T12:51:14Z</dcterms:created>
  <dcterms:modified xsi:type="dcterms:W3CDTF">2020-10-05T17:55:31Z</dcterms:modified>
</cp:coreProperties>
</file>